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download\"/>
    </mc:Choice>
  </mc:AlternateContent>
  <xr:revisionPtr revIDLastSave="0" documentId="13_ncr:1_{66D7B395-531D-4ABF-A95A-CF22A0A5EE13}" xr6:coauthVersionLast="47" xr6:coauthVersionMax="47" xr10:uidLastSave="{00000000-0000-0000-0000-000000000000}"/>
  <bookViews>
    <workbookView xWindow="-108" yWindow="-108" windowWidth="30936" windowHeight="16896" xr2:uid="{00000000-000D-0000-FFFF-FFFF00000000}"/>
  </bookViews>
  <sheets>
    <sheet name="01_Study_Coding" sheetId="1" r:id="rId1"/>
    <sheet name="02_Defect_Evidence" sheetId="2" r:id="rId2"/>
    <sheet name="03_Codebook" sheetId="3" r:id="rId3"/>
    <sheet name="04_Coding_Rules" sheetId="4" r:id="rId4"/>
    <sheet name="05_Coding_Audit" sheetId="5" r:id="rId5"/>
    <sheet name="06_Kappa_Calculatio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6" l="1"/>
  <c r="E36" i="6" s="1"/>
  <c r="B36" i="6"/>
  <c r="D36" i="6" s="1"/>
  <c r="F36" i="6" s="1"/>
  <c r="C35" i="6"/>
  <c r="E35" i="6" s="1"/>
  <c r="B35" i="6"/>
  <c r="D35" i="6" s="1"/>
  <c r="F35" i="6" s="1"/>
  <c r="C34" i="6"/>
  <c r="B34" i="6"/>
  <c r="D34" i="6" s="1"/>
  <c r="C33" i="6"/>
  <c r="E33" i="6" s="1"/>
  <c r="B33" i="6"/>
  <c r="D33" i="6" s="1"/>
  <c r="F33" i="6" s="1"/>
  <c r="C32" i="6"/>
  <c r="E32" i="6" s="1"/>
  <c r="B32" i="6"/>
  <c r="D32" i="6" s="1"/>
  <c r="F32" i="6" s="1"/>
  <c r="C31" i="6"/>
  <c r="E31" i="6" s="1"/>
  <c r="B31" i="6"/>
  <c r="D31" i="6" s="1"/>
  <c r="C30" i="6"/>
  <c r="B30" i="6"/>
  <c r="D30" i="6" s="1"/>
  <c r="C29" i="6"/>
  <c r="E29" i="6" s="1"/>
  <c r="B29" i="6"/>
  <c r="C28" i="6"/>
  <c r="E28" i="6" s="1"/>
  <c r="B28" i="6"/>
  <c r="C27" i="6"/>
  <c r="E27" i="6" s="1"/>
  <c r="B27" i="6"/>
  <c r="C26" i="6"/>
  <c r="E26" i="6" s="1"/>
  <c r="B26" i="6"/>
  <c r="D26" i="6" s="1"/>
  <c r="F26" i="6" s="1"/>
  <c r="C25" i="6"/>
  <c r="E25" i="6" s="1"/>
  <c r="B25" i="6"/>
  <c r="D25" i="6" s="1"/>
  <c r="C24" i="6"/>
  <c r="B24" i="6"/>
  <c r="D24" i="6" s="1"/>
  <c r="C18" i="6"/>
  <c r="B18" i="6"/>
  <c r="D18" i="6" s="1"/>
  <c r="C17" i="6"/>
  <c r="E17" i="6" s="1"/>
  <c r="B17" i="6"/>
  <c r="D17" i="6" s="1"/>
  <c r="F17" i="6" s="1"/>
  <c r="C16" i="6"/>
  <c r="E16" i="6" s="1"/>
  <c r="B16" i="6"/>
  <c r="D16" i="6" s="1"/>
  <c r="F16" i="6" s="1"/>
  <c r="I15" i="6"/>
  <c r="C15" i="6"/>
  <c r="E15" i="6" s="1"/>
  <c r="B15" i="6"/>
  <c r="D15" i="6" s="1"/>
  <c r="F15" i="6" s="1"/>
  <c r="D9" i="6"/>
  <c r="F9" i="6" s="1"/>
  <c r="C9" i="6"/>
  <c r="D27" i="6" s="1"/>
  <c r="D8" i="6"/>
  <c r="F8" i="6" s="1"/>
  <c r="C8" i="6"/>
  <c r="E8" i="6" s="1"/>
  <c r="F25" i="6" l="1"/>
  <c r="F31" i="6"/>
  <c r="F34" i="6"/>
  <c r="F18" i="6"/>
  <c r="F19" i="6"/>
  <c r="G8" i="6" s="1"/>
  <c r="I17" i="6"/>
  <c r="I16" i="6"/>
  <c r="H8" i="6"/>
  <c r="I8" i="6" s="1"/>
  <c r="F24" i="6"/>
  <c r="F30" i="6"/>
  <c r="F27" i="6"/>
  <c r="E9" i="6"/>
  <c r="E18" i="6"/>
  <c r="E30" i="6"/>
  <c r="E34" i="6"/>
  <c r="D28" i="6"/>
  <c r="F28" i="6" s="1"/>
  <c r="E24" i="6"/>
  <c r="D29" i="6"/>
  <c r="F29" i="6" s="1"/>
  <c r="F37" i="6" l="1"/>
  <c r="G9" i="6" s="1"/>
  <c r="H9" i="6" s="1"/>
  <c r="I9" i="6" s="1"/>
</calcChain>
</file>

<file path=xl/sharedStrings.xml><?xml version="1.0" encoding="utf-8"?>
<sst xmlns="http://schemas.openxmlformats.org/spreadsheetml/2006/main" count="5607" uniqueCount="1361">
  <si>
    <t>ROS SLR 精简编码表 / Concise Study Coding</t>
  </si>
  <si>
    <t>一篇文章一行。主缺陷代码只填一个；其他缺陷代码可用分号列出，但每个 Full/Partial 缺陷必须在 02_Defect_Evidence 中单独建立证据行。缺陷覆盖度与研究质量不得混用。</t>
  </si>
  <si>
    <t>Study ID</t>
  </si>
  <si>
    <t>Article Title / 文章标题</t>
  </si>
  <si>
    <t>ROS Version</t>
  </si>
  <si>
    <t>Major Category</t>
  </si>
  <si>
    <t>2-Major Category</t>
  </si>
  <si>
    <t>final-Major Category</t>
  </si>
  <si>
    <t>Primary Defect Code</t>
  </si>
  <si>
    <t>Primary Subcategory</t>
  </si>
  <si>
    <t>2-Primary Subcategory</t>
  </si>
  <si>
    <t>final-Primary Subcategory</t>
  </si>
  <si>
    <t>Other Defect Code(s)</t>
  </si>
  <si>
    <t>ALL Defect Code</t>
  </si>
  <si>
    <t>Primary Impact</t>
  </si>
  <si>
    <t>Source Code Required</t>
  </si>
  <si>
    <t>Simulation Use</t>
  </si>
  <si>
    <t>QA1 ROS Relevance</t>
  </si>
  <si>
    <t>QA2 Defect Clarity</t>
  </si>
  <si>
    <t>QA3 Study/Method Clarity</t>
  </si>
  <si>
    <t>QA4 Evaluation Strength</t>
  </si>
  <si>
    <t>QA5 Reproducibility</t>
  </si>
  <si>
    <t>QA Total (0-5)</t>
  </si>
  <si>
    <t>Adjudication / Notes</t>
  </si>
  <si>
    <t>TBD</t>
  </si>
  <si>
    <t>A systematic review on cybersecurity of robotic systems: vulnerabilities trends, threats, attacks, challenges, and proposed framework</t>
  </si>
  <si>
    <t>ROS 1</t>
  </si>
  <si>
    <t>VUL</t>
  </si>
  <si>
    <t>ROS1-UTA</t>
  </si>
  <si>
    <t>I; C; A</t>
  </si>
  <si>
    <t>ROS1-LE; ROS1-LNA; ROS1-LFQ</t>
  </si>
  <si>
    <t>ROS1-UTA; ROS1-LE; ROS1-LNA; ROS1-LFQ</t>
  </si>
  <si>
    <t>IMP-DT</t>
  </si>
  <si>
    <t>No</t>
  </si>
  <si>
    <t>Partial</t>
  </si>
  <si>
    <t>Broad robotic-system cybersecurity review rather than a ROS-specific study. ROS 1 access control, encryption, authentication, and DoS weaknesses are explicitly synthesized from prior studies. ROS 2 is mentioned mainly as a limitation of an earlier secure-communication approach and through general DDS discussion; no ROS 2-specific defect is directly analyzed. The proposed framework is conceptual and not implemented or experimentally evaluated.</t>
  </si>
  <si>
    <t>Cyber security of robots: A comprehensive survey</t>
  </si>
  <si>
    <t>Both</t>
  </si>
  <si>
    <t>I; C</t>
  </si>
  <si>
    <t>ROS1-LE; ROS1-LNA; ROS1-PNE</t>
  </si>
  <si>
    <t>ROS1-UTA; ROS1-LE; ROS1-LNA; ROS1-PNE</t>
  </si>
  <si>
    <t>Broad survey of robot cybersecurity rather than a ROS-only study. ROS 1 and ROS 2 are both explicitly reviewed, but the codebook-matched defects concern mainly ROS 1 plaintext communication, unrestricted publishing/access, missing node authentication, and publicly exposed ROS instances. ROS 2 is principally discussed through DDS-Security, security APIs, mitigation mechanisms, and performance overhead; no sufficiently specific ROS 2 defect category is established. The paper reports seven databases, search period, inclusion/exclusion criteria, PRISMA counts, dual screening, and third-author adjudication, but omits exact database-specific queries, the complete extraction form, formal quality-assessment criteria, and a replication package.</t>
  </si>
  <si>
    <t>Robotics Cyber Security: Vulnerabilities, Attacks, Countermeasures, and Recommendations</t>
  </si>
  <si>
    <t>ROS1-LE</t>
  </si>
  <si>
    <t>I</t>
  </si>
  <si>
    <t>C</t>
  </si>
  <si>
    <t>C; I</t>
  </si>
  <si>
    <t>ROS1-LE; ROS1-UTA</t>
  </si>
  <si>
    <t>IMP-DS</t>
  </si>
  <si>
    <t>Broad narrative review of robotic cybersecurity rather than a ROS-specific or systematic review. ROS-specific discussion summarizes cryptographic protection for ROS communication and permission control over publishing, subscribing, and data consumption. No original ROS experiment, implementation, dataset, search protocol, quality assessment, or replication package is provided.</t>
  </si>
  <si>
    <t>An Empirical Study of Vulnerabilities in Robotics</t>
  </si>
  <si>
    <t>—</t>
  </si>
  <si>
    <t>ROS1-LE; ROS1-PNE; ROS1-LNA; ROS1-LFQ</t>
  </si>
  <si>
    <t>Full</t>
  </si>
  <si>
    <t>Empirical analysis of 176 CVE-confirmed robotics vulnerabilities from RVD. ROS is mentioned only as an example within the “Operating System Software” component type, which accounts for 4.8% of software-related vulnerabilities. The paper does not identify which records are ROS-related, distinguish ROS 1 from ROS 2, or cross-tabulate ROS records with the nine vulnerability categories. Therefore, no codebook leaf can be assigned without unsupported inference.</t>
  </si>
  <si>
    <t>Security in Robot Operating Systems (ROS): Analytical Review Study</t>
  </si>
  <si>
    <t>ROS1-LE; ROS1-LNA; ROS1-PNE; ROS1-LFQ</t>
  </si>
  <si>
    <t>ROS1-UTA; ROS1-LE; ROS1-LNA; ROS1-PNE; ROS1-LFQ</t>
  </si>
  <si>
    <t>ROS security is the direct research object. The review compares ROS 1 and ROS 2 and synthesizes 32 studies, but provides no reproducible database-search procedure, selection criteria, extraction protocol, formal quality assessment, or replication package. ROS 1 access control, plaintext communication, anonymous node interaction, public exposure, and high-frequency publishing attacks are explicitly discussed. ROS 2 vulnerabilities are described only at a broad attack-category level and cannot be mapped reliably to the codebook’s mechanism-specific ROS 2 leaf codes.</t>
  </si>
  <si>
    <t>Who Controls Your Robot? An Evaluation of ROS Security Mechanisms</t>
  </si>
  <si>
    <t>ROS2-ILE</t>
  </si>
  <si>
    <t>ROS1-LE; ROS1-LNA; ROS1-UTA; ROS2-MPIB</t>
  </si>
  <si>
    <t>ROS2-ILE; ROS1-LE; ROS1-LNA; ROS1-UTA; ROS2-MPIB</t>
  </si>
  <si>
    <t>The paper directly evaluates network-security properties of ROS 1, ROS 2, and ten protection mechanisms. It defines MITM and compromised-node attackers and evaluates confidentiality, metadata confidentiality, integrity/authenticity, access control, compatibility, and key exchange. No original protection tool or complete runtime attack experiment is presented. ROS2-ILE is primary because the plaintext transmission of SROS 2/DDS-Security policies and ROS metadata is the most specific mechanism-level deficiency established by the study.</t>
  </si>
  <si>
    <t>Robot Operating System 2: The Need for a Holistic Security Approach to Robotic Architectures</t>
  </si>
  <si>
    <t>ROS 2</t>
  </si>
  <si>
    <t>C; I; A</t>
  </si>
  <si>
    <t>ROS2-ICAPP; ROS2-LRI; ROS2-CSCE</t>
  </si>
  <si>
    <t>ROS2-ILE; ROS2-ICAPP; ROS2-LRI; ROS2-CSCE</t>
  </si>
  <si>
    <t>The paper performs an architectural vulnerability analysis of ROS 2 and DDS-Security and experimentally evaluates security–performance trade-offs. The ROS translation layer is excluded from the benchmark; experiments measure RTI DDS messaging on one and two physical computers rather than a simulated robot. ROS2-ILE is primary because the paper directly demonstrates that security protection is independently configurable for discovery, liveliness, RTPS metadata, and payload, leaving selected information signed-only or completely unprotected. Credential/policy management, process isolation, and trusted security-component supply chains are identified as additional risks but are not experimentally exploited.</t>
  </si>
  <si>
    <t>Understanding Misconfigurations in ROS: An Empirical Study and Current Approaches</t>
  </si>
  <si>
    <t>REL</t>
  </si>
  <si>
    <t>ICF</t>
  </si>
  <si>
    <t>SEM; CODE</t>
  </si>
  <si>
    <t>BSE; SEF</t>
  </si>
  <si>
    <t>ICF; BSE; SEF</t>
  </si>
  <si>
    <t>IMP-FA</t>
  </si>
  <si>
    <t>ROS misconfigurations are the direct research object. The study analyzes 228 real ROS Answers questions, derives 12 high-level and 50 fine-grained categories, and maps them to 18 existing techniques. ICF is primary because the dominant fault families concern names, message contracts, missing endpoints, remapping, namespaces, launch wiring, parameters, and component composition. BSE covers incorrect physical or behavioral meanings, while SEF covers queues, frequency, stale data, synchronization, and launch race conditions. Only 37 of 228 questions identify a ROS version, making version-specific classification infeasible; therefore, Unclear is more defensible than Both. The dataset is publicly released, but the tool-review evaluation is limited to selected venues and 2018–2022, and only 10 of 18 technique mappings received external author validation.</t>
  </si>
  <si>
    <t>The Role of Security in Human-Robot Shared Environments: A Case Study in ROS-based Surveillance Robots</t>
  </si>
  <si>
    <t>ROS1-LE; ROS1-LNA; ROS1-LFQ; ROS1-SPF</t>
  </si>
  <si>
    <t>ROS1-LE; ROS1-PNE; ROS1-LNA; ROS1-UTA; ROS1-SPF; ROS1-LFQ</t>
  </si>
  <si>
    <t>The paper directly analyzes ROS 1 security weaknesses and uses the STOP multi-robot surveillance architecture as a case study. The primary weakness is unrestricted access to topics, nodes, and robot commands. Plaintext communication, missing node authentication, absent QoS/flow control, and the centralized ROS Master bottleneck are also explicitly discussed. The proposed hierarchical protections are largely design recommendations and ongoing implementation plans; the paper does not experimentally attack the STOP system or evaluate the proposed mechanisms quantitatively.</t>
  </si>
  <si>
    <t>A Study on ROS Vulnerabilities and Countermeasure</t>
  </si>
  <si>
    <t>ROS1-LNA</t>
  </si>
  <si>
    <t>ROS1-UTA; ROS1-LE; ROS1-LFQ; ROS1-SPF;ROS1-PNE</t>
  </si>
  <si>
    <t>ROS1-LE; ROS1-PNE; ROS1-LNA; ROS1-UTA; ROS1-SPF</t>
  </si>
  <si>
    <t>Yes</t>
  </si>
  <si>
    <t>The study experimentally analyzes ROS Indigo. An attacker joins the target ROS graph by configuring ROS_MASTER_URI, remotely controls TurtleSim, records and replays KOBUKI control messages, observes unencrypted communication, and replaces an existing service through duplicate-name registration. The attacks do not require application source code, although ROS Master source code is inspected to explain the service-hijacking mechanism.</t>
  </si>
  <si>
    <t>Smart Malware that Uses Leaked Control Data of Robotic Applications: The Case of Raven-II Surgical Robots</t>
  </si>
  <si>
    <t>ROS1-LNA; ROS1-LE</t>
  </si>
  <si>
    <t>The attack targets ROS 1 Kinetic and uses a malicious external ROS node to subscribe to sensitive state topics, infer critical surgical stages with DBSCAN, terminate or replace a legitimate publisher through a duplicate node name, and inject corrupted sensor/control data. The evaluation covers three simulated surgical scenarios, quantitative trigger accuracy, three fault payloads, and a safety module. Target application source code is not required, but the attacker needs network access, ROS APIs, relevant topic names, message structures, and some application knowledge.</t>
  </si>
  <si>
    <t>ROSploit: Cybersecurity Tool for ROS</t>
  </si>
  <si>
    <t>The paper presents a modular offensive tool with reconnaissance and exploitation components. ROSploit scans the ROS Master and arbitrary ports, enumerates nodes, topics, and services, and supports topic-level MITM attacks that can modify communications. The target application source code is not required. Evaluation is limited to a qualitative comparison between ROSploit scan results and the native ROS graph; no quantitative exploit evaluation, test repetitions, complete experimental configuration, or public replication package is reported.</t>
  </si>
  <si>
    <t>Scanning the Internet for ROS: A View of Security in Robotics Research</t>
  </si>
  <si>
    <t>ROS1-PNE</t>
  </si>
  <si>
    <t>ROS1-UTA; ROS1-LNA; ROS1-IPS</t>
  </si>
  <si>
    <t>ROS1-LE; ROS1-PNE; ROS1-LNA; ROS1-UTA; ROS1-IPS; ROS1-SPF</t>
  </si>
  <si>
    <t>The study performs three Internet-wide scans for ROS Masters on TCP port 11311 and one scan for Rosbridge on port 9090. Each Master scan identified more than 100 publicly accessible ROS instances across 28 countries. With owner consent, the authors accessed camera and point-cloud data, published actuator commands, moved a robot neck, and modified ROS parameters. Application source code was not required for scanning or standard topic access, although a custom .srv definition was needed to call one robot-specific service. Publicly visible simulators were measured, but the authors’ proof-of-concept evaluation used physical robots rather than a simulation testbed.</t>
  </si>
  <si>
    <t>Security on ROS: Analyzing and Exploiting Vulnerabilities of ROS-Based Systems</t>
  </si>
  <si>
    <t>ROS1-LNA; ROS1-UTA</t>
  </si>
  <si>
    <t>ROS1-PNE; ROS1-LNA; ROS1-UTA; ROS1-LFQ</t>
  </si>
  <si>
    <t>The study implements and evaluates a network MITM tool against the physical DoRIS domestic robot. Through ARP poisoning, IP forwarding, Netfilter Queue and Scapy, the attacker intercepts, reads, modifies or drops ROS topic packets exchanged between the robot and an external processing server. ROS1-LE is primary because the demonstrated attack fundamentally relies on ROS 1 transmitting data without encryption or cryptographic integrity protection. The paper also explicitly identifies missing node authentication and topic authorization, but those mechanisms are not independently exploited through ROS Master registration in the reported experiment.</t>
  </si>
  <si>
    <t>Security Controller Synthesis for ROS-based Robot</t>
  </si>
  <si>
    <t>I; A</t>
  </si>
  <si>
    <t>ROS1-LNA; ROS1-LFQ</t>
  </si>
  <si>
    <t>The paper synthesizes task and security controllers from TLSF/LTL specifications using a GR(1)-based algorithm. It addresses false-command injection enabled by unrestricted ROS topic publishing and DoS attacks characterized by abnormal message volume and resource consumption. The Gazebo evaluation demonstrates controller responses and task continuation using standby robots, but does not report a concrete ROS attack implementation, traffic-generation parameters, detection accuracy, false-positive rate, repeated trials, or physical-robot evaluation.</t>
  </si>
  <si>
    <t>Penetration Testing ROS</t>
  </si>
  <si>
    <t>ROS1-LNA; ROS1-IPS; ROS1-LE</t>
  </si>
  <si>
    <t>ROS1-LE; ROS1-PNE; ROS1-LNA; ROS1-UTA; ROS1-IPS; ROS1-SPF; ROS1-LFQ</t>
  </si>
  <si>
    <t>The chapter presents ROSPenTo and Roschaos for attacking ROS 1 Master, Slave, Parameter Server, topic, service, action and node-management APIs. It experimentally demonstrates stealth publisher injection, publisher/subscriber isolation, service isolation, malicious parameter updates and remote node shutdown. Examples include ROS Kinetic tutorial systems, a physical KUKA iiwa safety application with an OMRON OS32c LIDAR, and a Gazebo TurtleBot navigation simulation. No target application source code is required for graph analysis and API manipulation, although valid data injection requires the ROS message definition and parameter attacks require knowledge of parameter subscriptions.</t>
  </si>
  <si>
    <t>Novel Denial-of-Service Attacks Against Cloud-Based Multi-Robot Systems</t>
  </si>
  <si>
    <t>ROS1-LFQ</t>
  </si>
  <si>
    <t>A</t>
  </si>
  <si>
    <t>IMP-RE</t>
  </si>
  <si>
    <t>The study implements three DoS attacks against ROS Melodic cloud-based multi-robot workloads: network flooding, micro-architecture contention, and parameter manipulation. ROS1-LFQ is the only precise codebook match because a malicious publisher can increase its rate from 4 Hz to 400 Hz, fill router queues, increase latency and packet loss, and force subscribers to consume excessive resources. Hardware evaluations use two robot-computing platforms and a virtualized cloud server; two end-to-end case studies use Gazebo and RViz. The target application source code is not required, although the attacker must control or compromise one function node and understand relevant topics or performance parameters.</t>
  </si>
  <si>
    <t>Data Tampering Attack Design for ROS-Based Object Detection and Tracking Robotic Platform</t>
  </si>
  <si>
    <t>ROS1-UTA; ROS1-LNA</t>
  </si>
  <si>
    <t>The paper experimentally attacks a physical ROS 1 mobile robot. A TCPROS MITM attack intercepts the plaintext 48-byte /cmd_vel payload and modifies linear and angular velocity values, changing the robot trajectory. A second Python tool exploits unauthenticated Master/Slave XML-RPC APIs, retrieves the ROS graph, forges publisherUpdate, and connects a fake image publisher to the object-detection node. The target application source code is not required, although the attacker needs the topic, message type, payload structure, ROS Master address, and ROS API knowledge. The paper reports “ROS Kinect distribution,” which appears to refer to ROS Kinetic; the generation is unambiguously ROS 1.</t>
  </si>
  <si>
    <t>Analysis of Attacks on Robotic Operation System</t>
  </si>
  <si>
    <t>ROS1-LE; ROS2-ILE</t>
  </si>
  <si>
    <t>IMP-OA</t>
  </si>
  <si>
    <t>The study experimentally exploits missing authentication in the ROS 1 Master and Slave XML-RPC APIs using ROS Kinetic, Docker, roschaos and ROSPenTo. It demonstrates unauthorized publisher deregistration and manipulation of subscriber publisher lists. It also explicitly discusses plaintext ROS 1 communication and residual ROS 2/DDS-Security leakage, but does not experimentally validate the encryption-related weaknesses. The evaluation is limited to small synthetic ROS publisher/subscriber scenarios and reports no quantitative metrics or physical robot validation.</t>
  </si>
  <si>
    <t>Cyberattacks on Self-Driving Cars and Surgical and Eldercare Robots</t>
  </si>
  <si>
    <t>BOTH</t>
  </si>
  <si>
    <t>C; A</t>
  </si>
  <si>
    <t>I; A; CODE</t>
  </si>
  <si>
    <t>I; C; A; CODE</t>
  </si>
  <si>
    <t>ROS1-LNA; ROS1-LE; ROS1-LFQ; SEF</t>
  </si>
  <si>
    <t>The paper directly reviews ROS security weaknesses and ROS-based attacks in surgical and eldercare robots. Unauthorized publishing and arbitrary topic access are selected as the primary defect family. Missing authentication, plaintext communication and malicious high-rate publishing are separate vulnerability families. ROS real-time latency, message loss and lack of scheduling guarantees constitute a distinct reliability concern. The paper is a narrative review without a reported search strategy, screening process, quality assessment, original experiment or replication package.</t>
  </si>
  <si>
    <t>ROS Network Security for a Swing Doors Automation in a Robotized Hospital</t>
  </si>
  <si>
    <t>The paper directly analyzes ROS 1 message-transfer security in a robotized hospital. TCPROS plaintext transmission and healthcare-data confidentiality are the primary concerns. Authentication and authorization are explicitly identified as additional requirements. The authors compare centralized, mixed and independent architectures and recommend a fully centralized, isolated network with WPA2/WPA3, authentication, authorization, encryption, firewall protection and backup servers. However, no implemented prototype, attack experiment, performance measurement or replication artifact is reported.</t>
  </si>
  <si>
    <t>An Analysis of DoS Attack on Robot Operating System</t>
  </si>
  <si>
    <t>A; I</t>
  </si>
  <si>
    <t>ROS1-SPF; ROS1-UTA</t>
  </si>
  <si>
    <t>The paper directly evaluates ROS 1 DoS attacks using ROS Noetic, Gazebo, TurtleBot3 Waffle, ROSPloit, custom publisher/subscriber attacks and Tshark. Attack volumes of 10, 100 and 1000 malicious nodes are evaluated under four background-traffic levels. Delay and packet loss are measured at the application and transport layers. No target source code is required. Evaluation is simulation-only. Reproducibility is limited because the custom attack implementation, scripts and collected traffic dataset are not publicly provided.</t>
  </si>
  <si>
    <t>Understanding the Internet-Wide Vulnerability Landscape for ROS-based Robotic Vehicles</t>
  </si>
  <si>
    <t>ROS1-LE; ROS1-PNE; ROS1-LNA; ROS1-UTA; ROS1-IPS; ROS1-SPF; ROS2-ILE; ROS2-LMLAC; ROS2-ICAPP; ROS2-MPIB; ROS2-UTFAN</t>
  </si>
  <si>
    <t>The study directly measures Internet-exposed ROS 1 systems through three IPv4-wide scans and deploys 38 ROS 1/ROS 2 honeypots. Public exposure is the primary defect. Missing authentication and unrestricted ROS access are explicit enabling weaknesses, but the authors deliberately avoid modifying scanned systems or retrieving sensitive payload data. Code and data are publicly released.</t>
  </si>
  <si>
    <t>Analyzing Impact and Systemwide Effects of the SlowROS Attack in an Industrial Automation Scenario</t>
  </si>
  <si>
    <t>ROS1-SPF</t>
  </si>
  <si>
    <t>ROS1-LE; ROS1-PNE; ROS1-LNA; ROS1-IPS; ROS1-SPF; ROS1-LFQ</t>
  </si>
  <si>
    <t>The study directly discovers and evaluates a Slow DoS vulnerability in the standard ROS Noetic Master. The primary root cause is the absence of an effective idle-connection timeout, enabling malicious connections to occupy all available sockets and file descriptors indefinitely. Because the ROS Master and Parameter Server share one process and the Master is centralized, resource exhaustion causes systemwide disruption. Evaluation uses a physical Interbotix PincherX-100 arm, Intel NUC, Raspberry Pi nodes and a 100BaseTX industrial network. Experimental procedures and parameters are detailed, but the attack software and raw data are not publicly released; data are available only on request.</t>
  </si>
  <si>
    <t>Network Reconnaissance and Vulnerability Excavation of Secure DDS Systems</t>
  </si>
  <si>
    <t>ROS2-ILE; ROS2-ICAPP; ROS2-UTFAN</t>
  </si>
  <si>
    <t>The direct object is Secure DDS rather than a complete ROS 2 deployment, but the analyzed DDS-Security mechanism is used by ROS 2 and the paper explicitly discusses ROS 2 topic naming and fingerprinting. Permission documents are exchanged in plaintext during the authenticated crypto handshake, exposing topic, partition, data-tag and capability metadata. The authors implement a reproducible Docker-based test harness, capture RTPS traffic, reconstruct DDS information-flow topology with formal verification, and release the code publicly.</t>
  </si>
  <si>
    <t>AVGuardian: Detecting and Mitigating Publish-Subscribe Overprivilege for Autonomous Vehicle Systems</t>
  </si>
  <si>
    <t>ROS2-ILE; ROS2-LMLAC; ROS2-ICAPP; ROS2-MPIB; ROS2-UTFAN</t>
  </si>
  <si>
    <t>The paper directly studies coarse-grained publish/subscribe permissions in ROS-based autonomous-vehicle systems. SROS correctly enforces topic/message-level policies, but authorized modules receive unnecessary read or write authority over individual message fields. ROS1-UTA is the closest valid ROS 1 code, although the exact mechanism is message-field-level overprivilege. The concept resembles ROS2-LMLAC, but that code cannot be used because the implementation and evaluation use ROS Indigo. AVGuardian requires target module source code and evaluates attacks using Apollo SimControl and real-world driving traces. The paper provides video demonstrations but does not report a public release of the AVGuardian implementation or complete reproduction package.</t>
  </si>
  <si>
    <t>Analyzing Security Vulnerability and Forensic Investigation of ROS2: A Case Study</t>
  </si>
  <si>
    <t>ROS2-UTFAN</t>
  </si>
  <si>
    <t>ROS2-ILE; ROS2-LMLAC; ROS2-ICAPP; ROS2-LRI</t>
  </si>
  <si>
    <t>The paper directly evaluates ROS 2 Foxy security using a victim VM and an attacker VM. A malicious ROS 2 client joins the same communication domain, invokes the victim service without prior authorization and sends repeated requests until the service crashes. ROS2-UTFAN is the closest existing leaf because the observed availability failure is caused by unrestricted service-client traffic. However, DDS-Security authentication is not enabled, so the paper does not strictly study traffic abuse by a cryptographically authenticated node. Unauthorized service access and data injection are also demonstrated, but the current ROS 2 codebook contains no direct equivalent of ROS1-UTA. The attack commands are described, but package names, the DoS script, request rate, repetition count and complete artifacts are not provided.</t>
  </si>
  <si>
    <t>Investigating Security Threats in Multi-Tenant ROS 2 Systems</t>
  </si>
  <si>
    <t>ROS2-ICAPP</t>
  </si>
  <si>
    <t>ROS2-LMLAC; ROS2-MPIB; ROS1-UTA</t>
  </si>
  <si>
    <t>ROS2-ILE; ROS2-LMLAC; ROS2-ICAPP; ROS2-MPIB; ROS2-UTFAN; ROS2-LRI</t>
  </si>
  <si>
    <t>The paper directly investigates ROS 2 node, topic, namespace, Domain ID and SROS2 enclave security in multi-tenant environments. The primary weakness is the insufficient protection and binding of security contexts/enclaves: malicious nodes can create new contexts through internal APIs or CLI tools, override enclave settings and escape inherited restrictions. Topic-level permission granularity, missing publisher-source binding and the insecure ROS 1 side of ros1_bridge form additional independent weaknesses. Experiments use Open-RMF, Autoware and a ROS1–ROS2 camera application in software environments. The paper describes configurations and attacks clearly, but does not provide a complete public reproduction package or attack-tool repository.</t>
  </si>
  <si>
    <t>Cybersecurity in Autonomous Systems: Evaluating the Performance of Hardening ROS</t>
  </si>
  <si>
    <t>The study directly evaluates the confidentiality weakness of ROS 1 Indigo communications and implements separate encryption/decryption nodes using 3DES. A malicious ROS node can discover the ROS Master and subscribe to the sensor topic, but cannot recover the protected payload without the key. Evaluation includes publisher/listener tests, 256 KB–1 MB messages, and an 18-hour camera experiment with 971,790 frames. Source code and raw data are not released, limiting complete reproduction.</t>
  </si>
  <si>
    <t>Cybersecurity in Autonomous Systems: Hardening ROS Using Encrypted Communications and Semantic Rules</t>
  </si>
  <si>
    <t>The paper directly studies ROS 1 plaintext communication and implements AES encryption plus ROSRV runtime monitors. A second publisher can inject plaintext messages into the same topic, while the monitor detects and discards them. A separate monitor rejects localization messages affected by an external DoS attack against the KIO RTLS. Evaluation uses a physical robot and real localization hardware. Public source code is provided. Method clarity is reduced by an inconsistency between the prose and Algorithm 1 regarding the chi-square threshold, and the evaluation reports proof-of-concept outcomes rather than systematic detection accuracy.</t>
  </si>
  <si>
    <t>Increasing ROS 1.x Communication Security for Medical Surgery Robot</t>
  </si>
  <si>
    <t>The paper directly studies missing authentication and authorization in ROS 1.x. It implements an application-layer AA node, a database-connector node, runtime communication keys, login/logout services and authorization checks for publishing and subscribing. Adoption requires ROS nodes to use overloaded subscribe/advertise functions. Evaluation is a software prototype on Ubuntu 14.04 and ROS Indigo; no robot simulator or physical surgical procedure is used. Functional testing is described, but attack coverage, latency measurements, repeated trials, source-code release and raw data are not provided.</t>
  </si>
  <si>
    <t>Application-level Security for ROS-based Applications</t>
  </si>
  <si>
    <t>ROS1-UTA; ROS1-LE</t>
  </si>
  <si>
    <t>ROS1-LNA; ROS1-UTA; ROS1-LE</t>
  </si>
  <si>
    <t>The paper directly addresses missing node and message authentication in ROS 1. A dedicated authentication server performs certificate-based challenge–response authentication, distributes topic-specific keys and provides publisher verification. Unauthorized publishing, arbitrary subscription and plaintext communication are separate weaknesses. Evaluation uses a physical KUKA iiwa and compares insecure and secured execution, but provides no repeated trials, attack-success statistics or released implementation package.</t>
  </si>
  <si>
    <t>Security for the Robot Operating System</t>
  </si>
  <si>
    <t>ROS1-LNA; ROS1-LE; ROS1-LFQ; ROS1-IPS</t>
  </si>
  <si>
    <t>ROS1-UTA; ROS1-LNA; ROS1-LE; ROS1-LFQ; ROS1-IPS</t>
  </si>
  <si>
    <t>The paper systematically analyzes unauthorized publishing, arbitrary subscription, insecure XMLRPC calls, plaintext node communication, high-rate message flooding and parameter manipulation in ROS 1. It implements two defenses: an application-level authentication/encryption architecture and a ROS Kinetic roscpp modification using TLS/DTLS and certificate-based topic authorization. RosPenTo is used to reconstruct and manipulate the ROS graph and inject false information. Source access is required for the secure-channel modification, although RosPenTo itself is black-box. Attack and mitigation procedures are detailed, but the complete implementation, scripts and experimental datasets are not packaged as a fully self-contained replication artifact.</t>
  </si>
  <si>
    <t>Policy-based Access Control for Robotic Applications</t>
  </si>
  <si>
    <t>The paper directly studies the absence of permission control in ROS 1. It proposes and implements a PBAC access manager with identity tokens, access tokens, policy evaluation and runtime revocation. The method requires modifying or adapting ROS/application code so that resources verify access tokens. Evaluation uses a Pioneer 3-DX robot, three access-control scenarios and 1,000 performance requests. Evaluation is limited to one platform, simple cases and overhead measurements; no public repository, complete source code or detailed policy scripts are provided.</t>
  </si>
  <si>
    <t>Cross-Layer Secure and Resilient Control of Delay-Sensitive Networked Robot Operating Systems</t>
  </si>
  <si>
    <t>The paper directly models false-data injection against ROS agents and designs a lightweight MAC, time-delay controller, Chi-square detector and POMDP-based security policy. ROS is the stated application context, but the dynamics, authentication model and numerical evaluation are largely generic networked-control abstractions rather than a ROS protocol implementation. Evaluation is numerical only, without an executable ROS tool, ROS distribution, communication trace, physical robot or simulator.</t>
  </si>
  <si>
    <t>Designing a Security Platform for Collaborating Autonomous Systems – An Experience Report</t>
  </si>
  <si>
    <t>The paper designs and implements an application-layer security platform for collaborative TurtleBots using ROS 1. It addresses unauthenticated ROS Master–node interaction, unrestricted message/service access and unencrypted communication through OAuth-based authentication and authorization, TLS, public-key encryption, REST services and fault-tolerance mechanisms. The implementation architecture is clearly described, but evaluation is mainly an experience report and illustrated case study without attack-detection metrics, performance benchmarks, comparative baselines or a public replication package.</t>
  </si>
  <si>
    <t>Message Authentication Codes for Secure Remote Non-Native Client Connections to ROS Enabled Robots</t>
  </si>
  <si>
    <t>ROS1-LE; ROS1-PNE; ROS1-UTA</t>
  </si>
  <si>
    <t>ROS1-LNA; ROS1-LE; ROS1-PNE; ROS1-UTA</t>
  </si>
  <si>
    <t>The paper directly addresses the lack of authentication for remote rosbridge clients. It implements the rosauth package, modifies the rosbridge protocol, uses SHA-512 MAC-based tokens and SSL/WSS, and validates authorized and unauthorized connection attempts on PR2 and KUKA youBot systems. Public Internet exposure and plaintext communication are directly discussed and mitigated. Fine-grained publish/subscribe authorization is explicitly identified but deferred to future work.</t>
  </si>
  <si>
    <t>A Cryptography-Powered Infrastructure to Ensure the Integrity of Robot Workflows</t>
  </si>
  <si>
    <t>BSE</t>
  </si>
  <si>
    <t>SEM</t>
  </si>
  <si>
    <t>The study protects generic robot workflows against intentional or unauthorized modification using Merkle trees, RSA signatures and an external compliance service. ROS is not the primary execution model: the authors explicitly exclude fully distributed ROS applications from the central workflow model, although ROS drivers, actions, services and publications can be encapsulated as workflow components. The evaluated CHIMERA stack may use either a ROS-based MiR driver or a REST driver, and no ROS distribution or version is specified. Consequently, none of the fixed ROS 1/ROS 2 vulnerability leaf codes precisely represents the studied root cause.</t>
  </si>
  <si>
    <t>AuthROS: Secure Data Sharing Among Robot Operating Systems Based on Ethereum</t>
  </si>
  <si>
    <t>ROS1-LE; ROS1-UTA; ROS1-LNA</t>
  </si>
  <si>
    <t>The study implements an additional ROS node and an Ethereum-based data-sharing layer for ROS Melodic robots. SM4 encryption protects ROS data, SM2 signatures authenticate data sources and SM3/blockchain digests verify integrity. Smart contracts implement identity registration and authority granting. However, AuthROS does not modify native ROS Master registration or directly enforce access control on the original ROS topic graph. Security evaluation concentrates mainly on cryptographic and blockchain performance rather than systematic attack success rates.</t>
  </si>
  <si>
    <t>Proposed Technique for Data Security with the AES Algorithm in Robot Operating System (ROS)</t>
  </si>
  <si>
    <t>The paper directly analyzes plaintext TCPROS communication and implements the L2Topic application-layer encryption method using AES-256, OpenSSL, JSON and std_msgs::String. Plain and encrypted packets are inspected with Wireshark. Evaluation compares encrypted and unencrypted image streaming at four resolutions using frame rate, encryption/decryption time and CPU utilization. The evaluation is limited to one communication workload and does not report systematic attack tests, repeated statistical analysis, key-management security or comparisons with SROS/Secure ROS. No complete implementation repository is provided.</t>
  </si>
  <si>
    <t>Procedurally Provisioned Access Control for Robotic Systems</t>
  </si>
  <si>
    <t>ROS2-LMLAC</t>
  </si>
  <si>
    <t>The paper develops ComArmor and Keymint for defining, compiling and verifying ROS 2/DDS access-control policies. It experimentally demonstrates that ROS 2 Ardent namespace-to-DDS mapping and an SROS2 empty-partition workaround can generate unintended permissions and cross-talk between ROS 2 subsystems. It also identifies gratuitous permissions in the default SROS2 template. The implementation, policy language, verification procedure and experiment materials are publicly available.</t>
  </si>
  <si>
    <t>Enhancing Security in ROS</t>
  </si>
  <si>
    <t>ROS1-UTA; ROS1-LNA; ROS1-LE</t>
  </si>
  <si>
    <t>The chapter directly addresses missing ROS 1 graph-level access control and proposes security logging, automatically generated policy profiles, X.509 identity/attribute certificates, and user-pull/server-pull certificate architectures. Authentication and encryption are substantial secondary concerns. The work is primarily architectural and conceptual: no implemented prototype, ROS testbed, attack experiment, performance result, public tool, or replication package is reported.</t>
  </si>
  <si>
    <t>Runtime Verification on Hierarchical Properties of ROS-Based Robot Swarms</t>
  </si>
  <si>
    <t>BSE; ROS1-UTA</t>
  </si>
  <si>
    <t>Hybrid</t>
  </si>
  <si>
    <t>The implementation explicitly uses Ubuntu 16.04 and ROS Kinetic, therefore it is coded as ROS 1. RMoM monitors author-defined resource, communication, robot-behavior, and swarm-behavior properties. Behavioral and swarm-property violations are the main research object; unauthorized publishing by a bogus ROS node is an independently evaluated security case. The method consumes runtime ROS topics, node information, resource states, and user-written properties rather than target application source code. Evaluation includes a physical TurtleBot and a Gazebo UAV-swarm simulation. No public RMoM source-code repository is reported.</t>
  </si>
  <si>
    <t>CryptoROS: A Secure Communication Architecture for ROS-Based Applications</t>
  </si>
  <si>
    <t>ROS1-LNA; ROS1-UTA; ROS1-LFQ</t>
  </si>
  <si>
    <t>ROS1-LE; ROS1-LNA; ROS1-UTA; ROS1-LFQ</t>
  </si>
  <si>
    <t>The study explicitly targets ROS 1, as shown by its reliance on ROS Master, XML-RPC, TCPROS, rospy, and roscpp. CryptoROS proposes TLS-secured peer-to-peer communication and token-based authentication and authorization without modifying target ROS nodes or client libraries. However, the architecture is not implemented or experimentally evaluated; implementation and performance measurement are left to future work. XML-RPC traffic and the ROS Master remain unprotected.</t>
  </si>
  <si>
    <t>TROS: Protecting Humanoids’ ROS from Privileged Attackers</t>
  </si>
  <si>
    <t>ROS1-LNA; ROS1-UTA; ROS2-ICAPP</t>
  </si>
  <si>
    <t>ROS1-LE; ROS1-LNA; ROS1-UTA; ROS2-ICAPP</t>
  </si>
  <si>
    <t>TROS extends ROS Melodic C++ with Intel SGX enclaves to protect ROS messages, encryption keys, node identities, topic-subscription records, configuration data and ROS entity URIs against privileged local attackers. The system is evaluated through memory-dump and DMA attacks, performance experiments, and two misuse cases involving a V-REP simulated NAO. ROS 2 is directly analyzed regarding exposed certificates and permission data, but is not implemented or experimentally evaluated. No public TROS repository or complete replication package is reported.</t>
  </si>
  <si>
    <t>SROS2: Usable Cyber Security Tools for ROS 2</t>
  </si>
  <si>
    <t>SROS2 is an open-source ROS 2 security toolchain that generates and manages Identity CA, Permissions CA, X.509 certificates, governance files, permission files and enclave artifacts. It also supports graph introspection, automatic policy generation and DDS/RTPS security monitoring. The TurtleBot3 case study is conducted in simulation. The study identifies usability, secure distribution and credential-lifecycle limitations, but does not experimentally evaluate credential or policy tampering.</t>
  </si>
  <si>
    <t>ROSEC: Intra-Process Isolation for ROS Composition With Memory Protection Keys</t>
  </si>
  <si>
    <t>ROS2-LRI</t>
  </si>
  <si>
    <t>The study targets the absence of memory isolation among ROS 2 composable nodes sharing a container process. ROSEC modifies the ROS 2 client library and executor, and uses Intel MPK, per-node allocators, separate stacks and dynamic protection-key assignment to isolate heap, stack and global objects. Evaluation uses ROS 2 Dashing on physical x86 hardware, synthetic ROS 2 workloads and a real camera-based image_tools application. No public ROSEC source-code repository or complete replication package is reported.</t>
  </si>
  <si>
    <t>Support Remote Attestation for Decentralized Robot Operating System (ROS) Using Trusted Execution Environment</t>
  </si>
  <si>
    <t>The paper identifies the DDS Security assumption that local machines and locally stored credentials, keys, policies and configuration files are trustworthy. It proposes placing DDS and security artifacts inside SCONE/SGX enclaves and using remote attestation to continuously verify node identity and integrity. The design is conceptual: no ROS 2 prototype, attack experiment, performance evaluation or public implementation is reported.</t>
  </si>
  <si>
    <t>Quantifying DDS-Cerberus Network Control Overhead</t>
  </si>
  <si>
    <t>ROS2-MPIB</t>
  </si>
  <si>
    <t>The implementation uses ROS 2 Foxy, DDS and Kerberos V5 on a laptop and two Raspberry Pi devices. DDS-C requires each publisher and subscriber to possess a node-specific Kerberos principal and keytab and authenticate before DDS operations. The evaluation rigorously measures authentication traffic overhead under different node counts, network arrangements and QoS reliability settings. However, it assumes that nodes authenticate successfully and that no node is compromised; therefore, impersonation resistance is not directly tested through an adversarial experiment.</t>
  </si>
  <si>
    <t>Decentralized Information-Flow Control for ROS2</t>
  </si>
  <si>
    <t>The paper directly targets the inability of ROS 2 and SROS2 topic-level permissions to control downstream use and re-publication of protected data. Picaros implements data-object-level decentralized information-flow control using DIFC labels and decentralized multi-authority attribute-based encryption. It modifies rclcpp, adds a loadable kernel module and verification service, and evaluates latency, memory and power overhead using ROS 2 Humble, SROS2 and iRobot application benchmarks. No public Picaros implementation or complete replication package is reported.</t>
  </si>
  <si>
    <t>ROSRV: Runtime Verification for Robots</t>
  </si>
  <si>
    <t>SEM; I</t>
  </si>
  <si>
    <t>BSE; ROS1-UTA; ROS1-LNA</t>
  </si>
  <si>
    <t>The implementation uses ROS Groovy on Ubuntu 12.04 and depends on the ROS Master, XML-RPC requests and ROS 1 topic communication. ROSRV generates runtime monitors from formal safety specifications and enforces host-level access-control policies for node creation, publishing, subscribing and ROS commands. It was demonstrated on a commercial LandShark UGV with legal and attacker nodes. The paper reports public source code, materials and demonstrations, but provides limited quantitative evaluation and no systematic baseline comparison.</t>
  </si>
  <si>
    <t>ROSMonitoring: A Runtime Verification Framework for ROS</t>
  </si>
  <si>
    <t>ROSMonitoring supports ROS Kinetic and Melodic and monitors ROS topic communication against user-defined formal properties. The Curiosity rover case study filters unsafe wheel commands according to speed and movement direction. A separate scalability experiment evaluates 10 nodes, 10 topics and message rates up to 10,000 messages/s. The framework modifies launch/remapping configuration but does not require target application source-code analysis or modification. Source code and examples are publicly available.</t>
  </si>
  <si>
    <t>ROS-Defender: SDN-Based Security Policy Enforcement for Robotic Applications</t>
  </si>
  <si>
    <t>I; A; C</t>
  </si>
  <si>
    <t>ROS1-LFQ; ROS1-LNA; ROS1-LE</t>
  </si>
  <si>
    <t>ROS1-UTA; ROS1-LFQ; ROS1-LNA; ROS1-LE</t>
  </si>
  <si>
    <t>The study targets ROS 1 and SROS1 architectures based on ROS Master, Parameter Server, XML-RPC, TCPROS/UDPROS and SROS. ROS-Defender maps ROS-level topic, node and service policies to OpenFlow flow rules and dynamically blocks unauthorized or anomalous connections. It is implemented with Ryu, OpenFlow 1.3, Open vSwitch/Zodiac WX and ROSWatch. Evaluation covers a physical TurtleBot3 and several Gazebo/Mininet robot simulations, but mainly measures performance overhead rather than attack-detection accuracy or security bypass resistance.</t>
  </si>
  <si>
    <t>Towards a Robotic Intrusion Prevention System: Combining Security and Safety in Cognitive Social Robots</t>
  </si>
  <si>
    <t>ROS2-MPIB; ROS2-UTFAN</t>
  </si>
  <si>
    <t>The study designs a ROS 2 robotic intrusion-prevention framework that monitors message events, graph changes, publisher/subscriber identities, topic structure and payloads, and then maps detected threat levels to safety-oriented System Modes. The physical evaluation uses a TIAGo robot with ROS 2 Foxy/Humble and CycloneDDS. However, the RIPS detection core is emulated: the experiments validate system reconfiguration after a simulated intrusion signal, rather than actual detection of malicious ROS 2 traffic. A fully functional ROS 2 monitor and rule engine are left to future work.</t>
  </si>
  <si>
    <t>Watch Your Callback: Offline Anomaly Detection Using Machine Learning in ROS 2</t>
  </si>
  <si>
    <t>CODE; A</t>
  </si>
  <si>
    <t>CODE</t>
  </si>
  <si>
    <t>SEF</t>
  </si>
  <si>
    <t>ROS2-UTFAN; SEF</t>
  </si>
  <si>
    <t>The operational target is abnormal callback execution response time and invocation frequency, directly corresponding to ROS 2 execution and scheduling behavior. Four synthetic DoS scenarios are evaluated by altering callbackJointState; benign anomalies are approximated through augmentation of normal traces. The detection method uses built-in ros2_tracing tracepoints and does not require modification of monitored node source code, although reproducing the seeded attack scenarios requires modifying the selected callback. Evaluation is Gazebo-only and uses an internally generated, non-public dataset.</t>
  </si>
  <si>
    <t>Intrusion Detection on Robot Cameras Using Spatio-Temporal Autoencoders: A Self-Driving Car Application</t>
  </si>
  <si>
    <t>A; C</t>
  </si>
  <si>
    <t>The paper models a malicious ROS node that publishes, intercepts, modifies, replays, or floods images on a camera topic. Ten author-created attack scenarios are evaluated using camera frames extracted from a public Udacity ROSBAG dataset. The detection model is image-based and can operate without the source code of ROS nodes. No ROS distribution is named; ROS 1 is inferred from the ROSBAG/Autoware-era architecture and the absence of DDS or ROS 2 mechanisms.</t>
  </si>
  <si>
    <t>Detecting Data Injection Attacks in ROS Systems Using Machine Learning</t>
  </si>
  <si>
    <t>The evaluated attack is unauthorized publishing of false motion commands to /cmd_vel. A fake node is added to the publisher list through publisherUpdate and publishes malicious commands at 10 Hz. The proposed NIDS uses Tcpdump/Tcpstat network statistics and an SVM classifier, so target application source code is not required. Evaluation is limited to one simulated SLAM scenario and one attack family.</t>
  </si>
  <si>
    <t>Trusted Operations of a Military Ground Robot in the Face of Man-in-the-Middle Cyberattacks Using Deep Learning Convolutional Neural Networks: Real-Time Experimental Outcomes</t>
  </si>
  <si>
    <t>The paper explicitly studies ROS 1.0 and performs a real-time attack on a physical GVR-BOT. Malicious ROS traffic overwrites legitimate /cmd_vel guidance data, causing loss of control. The IDS uses 33 runtime ROS/network and robot-state features transformed into RGB or grayscale images and classified by CNN. No target application source code is required. Experiments include indoor and outdoor physical operation, multiple robot motions, voting filters, two windowing schemes, and comparisons with BoF and SVM.</t>
  </si>
  <si>
    <t>DCWM-LSTM: A Novel Attack Detection Framework for Robotic Arms</t>
  </si>
  <si>
    <t>ROS1-LFQ; ROS1-LNA</t>
  </si>
  <si>
    <t>ROS1-UTA; ROS1-LFQ; ROS1-LNA</t>
  </si>
  <si>
    <t>The evaluated system explicitly uses ROS-Master, attacker-created ROS nodes, ROS topics and rosbag data, therefore it is coded as ROS 1. The replay attack records data obtained through an unauthorized subscription and republishes it continuously to the target. The subscriber-flood attack repeatedly sends subscription requests, causing ROS-Master overload, delayed arm movement and temporary unresponsiveness. DCWM-LSTM operates on runtime joint-state data and does not require target application source code. Experiments use a physical Kawasaki RS05L arm in the IFARLab-DIH factory laboratory.</t>
  </si>
  <si>
    <t>ROZZ: Property-based Fuzzing for Robotic Programs in ROS</t>
  </si>
  <si>
    <t>GPE</t>
  </si>
  <si>
    <t>ROZZ performs source-level LLVM instrumentation, distributed branch-coverage collection, multidimensional input mutation and temporal message mutation. The main evaluation covers 10 ROS 2 Foxy programs and finds 43 real implementation bugs; an additional ROS 1 evaluation finds six bugs. All reported bugs are implementation-level memory, exception-handling or synchronization defects. The experiments use Gazebo and a virtual TurtleBot3.</t>
  </si>
  <si>
    <t>Multi-Dimensional and Message-Guided Fuzzing for Robotic Programs in Robot Operating System</t>
  </si>
  <si>
    <t>ROFER tests 13 ROS 2 Foxy programs written in C++ and Python. It uses multidimensional mutation over user commands, configuration parameters, sensor-message data and message order, together with message-feature feedback. The study reports 88 real bugs, including null-pointer dereferences, use-after-free defects, buffer/stack overflows, invalid-pointer accesses and unhandled exceptions; 46 were confirmed by developers. ROFER itself can test closed-source programs without code instrumentation, although the evaluation uses llvm-cov and ASan for C++ coverage and memory-bug diagnosis.</t>
  </si>
  <si>
    <t>Toward the Trustworthiness of Industrial Robotics Using Differential Fuzz Testing</t>
  </si>
  <si>
    <t>The evaluation uses Ubuntu 16.04 and ROS Kinetic. RROSFuzz compares two MoveIt! interfaces implementing the same forward-kinematics and robot-arm movement function. Among 15,246 test cases, 9,266 produce inconsistent outputs. The authors conclude that moveit_commander.arm.go() can mishandle joint angles, preventing the arm from accurately reaching the requested pose. The general differential method executes package interfaces and compares outputs without requiring target source code, although source review is used during diagnosis. Evaluation uses a virtual six-axis robot model in RVIZ and does not include a physical robot.</t>
  </si>
  <si>
    <t>RoboFuzz: Fuzzing Robotic Systems over Robot Operating System (ROS) for Finding Correctness Bugs</t>
  </si>
  <si>
    <t>GPE; ICF</t>
  </si>
  <si>
    <t>BSE; GPE; ICF</t>
  </si>
  <si>
    <t>RoboFuzz targets ROS 2 Foxy internals and ROS 2 applications. Its primary contribution is detecting violations of physical laws, specifications, robot-domain constraints, and simulation–physical discrepancies, mapped to BSE. Separately observed type-checking, missing-validation, null-dereference, exception-handling, and unreachable-code faults are GPE. The trajectory-setpoint message-definition mismatch is ICF. The core method operates through runtime ROS graph discovery, message mutation, state monitoring, and correctness oracles, so target source code is not inherently required; source was nevertheless reviewed for oracle construction and ROS 2 was built from source for internal-layer experiments. Physical PX4 and TurtleBot3 robots were evaluated together with simulated counterparts, so Simulation Use is Hybrid.</t>
  </si>
  <si>
    <t>DiscoFuzzer: Discontinuity-based Vulnerability Detector for Robotic Systems</t>
  </si>
  <si>
    <t>BSE; GPE</t>
  </si>
  <si>
    <t>DiscoFuzzer targets ROS Kinetic and dynamically mutates ROS topic-message fields. Its principal detection mechanism identifies abrupt or unexpected changes in robot outputs based on physical continuity, state consistency and behavioral relationships, corresponding to BSE. It additionally detects crashes, persistent NaN/infinity values and potential memory or mathematical implementation faults, but the paper does not provide sufficient root-cause details for every benchmark issue; therefore GPE is secondary and conservatively coded Partial. Evaluation used 20 benchmark versions from 14 ROS packages in a virtualized ROS environment, with no physical robot. The uploaded version is a non-peer-reviewed preprint.</t>
  </si>
  <si>
    <t>Enhancing ROS System Fuzzing through Callback Tracing</t>
  </si>
  <si>
    <t>GPE; SEF</t>
  </si>
  <si>
    <t>R2D2 targets ROS 2 Humble and Rolling, including the ROS runtime and Navigator2, TurtleBot3, Turtlesim, and Autoware. The 39 detected bugs mainly comprise memory-management and generic synchronization defects, including OOM, overflow, UAF, double-free, null-pointer dereference, segmentation faults, memory leaks, data races, and deadlocks; therefore GPE is primary. Executor scheduling and callback-timing faults are explicitly analyzed but are not separately evaluated as a principal discovered defect family, so SEF is coded Partial. R2D2 requires source-level instrumentation of RCL/RCLCPP and sanitizer-enabled compilation. Experiments were software-only and included simulated/headless ROS applications, with no physical robot evaluation.</t>
  </si>
  <si>
    <t>Property-Based Testing for the Robot Operating System</t>
  </si>
  <si>
    <t>ICF; BSE; GPE</t>
  </si>
  <si>
    <t>The approach generates property-based integration tests from HAROS-extracted ROS computation-graph models. Its primary target is orchestration and interface integration, including incorrect topic bindings, names, remappings, launch configurations, missing message flows, and unexpected changes in published or subscribed topics. User-defined behavioral and temporal contracts are separately supported and demonstrated on the Kobuki safety controller, so BSE is also covered. Crash and node-liveness detection are implemented, but no concrete programming-error instance is evaluated; therefore GPE is Partial. Source code is required because HAROS statically extracts nodes, topics, message types, and configurations from launch files and C++ source code. The preliminary experiment was executed in a virtual machine without a physical robot.</t>
  </si>
  <si>
    <t>Checking consistency of robot software architectures in ROS</t>
  </si>
  <si>
    <t>The paper targets inconsistencies in ROS node graphs and roslaunch configurations, including disconnected components, unintended connections, missing publishers, incorrect topic remappings, parameters, namespaces, and topic/service interfaces. The implemented prototype combines static launch-file analysis with sandboxed execution of ROS binaries. ROS 2 is mentioned only as future adaptation and is therefore not coded.</t>
  </si>
  <si>
    <t>Static-time Extraction and Analysis of the ROS Computation Graph</t>
  </si>
  <si>
    <t>ICF; SEF</t>
  </si>
  <si>
    <t>The paper explicitly targets the original ROS version and statically reconstructs ROS computation graphs from launch files, CMake files, and C++ source code. The primary analyzed faults concern incorrect architectural relationships: mismatched publisher/subscriber types, incorrect or missing remappings, disconnected topics, problematic global names, and incomplete node communication. Queue-size queries address potential execution and message-loss problems, but no queue-induced runtime failure is directly evaluated; therefore SEF is secondary and Partial. Evaluation uses TurtleBot2 and the industrial AgRob V16 case study, with manual code and runtime inspection used only to validate extracted models.</t>
  </si>
  <si>
    <t>Verification of System-Wide Safety Properties of ROS Applications</t>
  </si>
  <si>
    <t>The HAROS safety plug-in verifies configuration-specific, system-wide behavioral properties over ROS message traces. Properties constrain message values, operating modes, command provenance and sensor-to-actuator behavior. Evaluation used the real AgRob V16 software architecture, 30 node-level specifications and four system-wide properties over two launch configurations. One unsafe counterexample was found in the map configuration. The evaluation is limited to one system and bounded model checking; the counterexample was not reproduced through runtime execution on the physical robot.</t>
  </si>
  <si>
    <t>A Framework for Quality Assessment of ROS Repositories</t>
  </si>
  <si>
    <t>HAROS is a ROS-specific, plug-in-based static-analysis framework. It evaluates source-code metrics, quality-threshold violations and coding-standard violations in ROS repositories. The evaluated corpus contains nearly 50 repositories and 180 C++ packages from 11 ROS robots. The reported indicators identify potential implementation defects and maintainability risks, but the paper does not validate whether each violation corresponds to an actual runtime failure.</t>
  </si>
  <si>
    <t>ROSInfer: Statically Inferring Behavioral Component Models for ROS-based Robotics Systems</t>
  </si>
  <si>
    <t>ROSInfer statically infers behavioral state-machine models from ROS 1 C++ source code by recognizing ROS API calls, callbacks, publishing operations, periodic loops, state variables and state transitions. Its demonstrated defect-detection use case concerns behavioral architectural composition bugs in which a component requires an input message for important functionality, but no component in the selected configuration publishes that message. Three documented Autoware.AI bugs were detected through generated PlusCal/TLA+ models and eventual-output properties. The tool and replication package, including handwritten models and evaluation data, are publicly available.</t>
  </si>
  <si>
    <t>Towards Automatic Inference of Behavioral Component Models for ROS-Based Robotics Systems</t>
  </si>
  <si>
    <t>The paper defines “behavioral architectural composition bugs” caused by incompatible behavioral assumptions among ROS components, such as waiting indefinitely for initialization messages, ignoring inputs, failing to change state, losing messages, or publishing at an unexpected frequency. ROSInfer statically infers input-output state machines from ROS C++ source code. Dynamic recovery, timing analysis and the full end-to-end evaluation are proposed future work.</t>
  </si>
  <si>
    <t>Lightweight Detection of Physical Unit Inconsistencies without Program Annotations</t>
  </si>
  <si>
    <t>The paper detects physical-unit semantic inconsistencies in ROS C++ programs, including assignment of incompatible units, comparison of quantities with different units, and addition of physically incompatible quantities. The tool analyzes ROS Indigo repositories using static analysis and a mapping from ROS message attributes to physical units. Evaluation covers 213 repositories and more than 900,000 LOC.</t>
  </si>
  <si>
    <t>Phriky-Units: A Lightweight, Annotation-Free Physical Unit Inconsistency Detection Tool</t>
  </si>
  <si>
    <t>Tool/demo paper presenting Phriky-Units, a static-analysis tool for detecting physical-unit inconsistencies in ROS C++ code. The paper summarizes an evaluation previously reported by the same authors on 213 ROS projects. It should be grouped with the full ISSTA study and should not be treated as independent empirical evidence if the SLR counts study families rather than individual publications.</t>
  </si>
  <si>
    <t>Phys: Probabilistic Physical Unit Assignment and Inconsistency Detection</t>
  </si>
  <si>
    <t>Phys uses probabilistic inference to assign physical units to variables and detect unit-semantic inconsistencies in ROS C++ software. It extends Phriky by combining ROS message-field mappings with dataflow, variable-name, computed-unit, known-symbol and conversion evidence. It is evaluated against Phriky on public ROS project files and provides a public replication artifact.</t>
  </si>
  <si>
    <t>PhysFrame: Type Checking Physical Frames of Reference for Robotic Systems</t>
  </si>
  <si>
    <t>BSE; ICF</t>
  </si>
  <si>
    <t>BSE is primary because the central contribution is a frame-type system for detecting incorrect physical transformations, axis-orientation conventions, and frame-semantic inconsistencies. ICF is secondary because the tool separately detects missing frame identifiers, malformed TF-tree relationships, redundant transforms, and naming/configuration violations. The evaluation uses 180 ROS projects, including ROS Kinetic and Indigo projects. The tool and evaluation data are publicly available through Zenodo.</t>
  </si>
  <si>
    <t>SA4U: Practical Static Analysis for Unit Type Error Detection</t>
  </si>
  <si>
    <t>Unclear</t>
  </si>
  <si>
    <t>Non-ROS study. The actual subjects are ArduPilot and PX4 UAS firmware using MAVLink. SA4U detects physical-unit and reference-frame semantic errors through source instrumentation, simulator traces, protocol definitions and static constraint solving. ROS appears only in comparison with Phriky, Phys and PhysFrame. Recommend exclusion from the final ROS SLR corpus.</t>
  </si>
  <si>
    <t>UPPAAL-Based Modeling and Verification of ROS 2 Multi-threaded Execution and Operating System Reservations</t>
  </si>
  <si>
    <t>The primary issue is non-malicious callback blocking, starvation risk, increased latency, and OS-scheduling interference in the ROS 2 multi-threaded executor. Although the authors occasionally call these effects “vulnerabilities,” no attacker, unauthorized behavior, or missing security policy is studied; therefore, the paper is coded as reliability rather than vulnerability. The method requires callback release times, execution times, callback types, executor/thread settings, and reservation parameters, but not the target node source code. Evaluation combines executions on two real ROS 2 test systems with UPPAAL simulation/model checking. QA4 is Partial because the systems and scenarios are small-scale and the reservation-server component is checked mainly against manually constructed synthetic traces. QA5 is Partial because the complete UPPAAL model is provided, but the ROS 2 distribution, detailed machine configuration, and complete experimental implementation are not sufficiently documented for exact reproduction.</t>
  </si>
  <si>
    <t>A Model-Based Methodology for Automated Verification of ROS 2 Systems</t>
  </si>
  <si>
    <t>The proposed toolchain automates the construction of UPPAAL models for verifying ROS 2 callback latency, executor blocking, input-buffer adequacy, buffer overflow, and missed callback instances. These targets originate in ROS 2 executor scheduling and runtime execution, so SEF is the appropriate root-cause code. The paper uses “vulnerable” in the general sense of being prone to blocking, but it does not involve an attacker, unauthorized behavior, or a security-policy failure; therefore, it is coded as reliability rather than vulnerability. Source code of the analyzed ROS 2 application is not required as an analysis input: implemented systems are processed through ROS2_tracing, while conceptual systems may begin from an EMF system model. The proof of concept runs a small standalone ROS 2 system and generated UPPAAL models, without Gazebo or another robotics simulator. QA3 is Partial because several transformations and requirement-generation components remain conceptual or only partially implemented. QA4 is Partial because evaluation uses one small example, selected callback types, and no comparative baseline or comprehensive defect-detection experiment. QA5 is No because no public implementation or replication package is identified, and the transformation details are insufficient for exact independent reproduction.</t>
  </si>
  <si>
    <t>Formal Verification of ROS-based Robotic Applications using Timed-Automata</t>
  </si>
  <si>
    <t>The study directly models ROS 1 publisher–subscriber communication, queues, ros::spinOnce, callback processing, timeouts, publication rates, and message priorities. UPPAAL verification identifies queue-overflow configurations, lost sensor messages, and starvation of RandomWalker velocity commands in the Kobuki robot. Evaluation is limited to a synthetic example and one ROS robot case study, without physical execution validation or comparison with alternative approaches. Kobuki source code is public, but no dedicated replication package or UPPAAL model repository is reported.</t>
  </si>
  <si>
    <t>Pattern-based verification of ROS 2 applications using UPPAAL</t>
  </si>
  <si>
    <t>The method models ROS 2 callback releases, executor scheduling, callback execution times, priorities, communication delays, jitter, and input/output buffer utilization using reusable UPPAAL timed-automata templates. It covers both ExV1 and ExV2 single-threaded executors and evaluates ROS 2 Dashing, Eloquent, and Humble. Model traces are compared with actual ROS 2 executions in Docker. The complete UPPAAL model is made available online.</t>
  </si>
  <si>
    <t>Verifying ROS-Based Applications Using Timed and Stochastic Timed Automata</t>
  </si>
  <si>
    <t>The paper formalizes ROS 2 scheduling and communication using timed and stochastic timed automata. It verifies end-to-end reaction-time bounds under deterministic and nondeterministic execution times and probabilistic workloads. Evaluation reproduces four cases from earlier simulation-based work and studies a camera-guided industrial scenario, but it does not validate the models through actual ROS 2 or physical-robot execution. The UPPAAL models and source code are publicly available.</t>
  </si>
  <si>
    <t>DiNeROS: A Model-Driven Framework for Verifiable ROS Applications with Petri Nets</t>
  </si>
  <si>
    <t>CODE; SEM</t>
  </si>
  <si>
    <t>SEF; BSE</t>
  </si>
  <si>
    <t>The framework models ROS nodes, topics, services, publisher queues, dispatcher queues, callback queues, service instances, and external signals using extended Petri nets. The primary evaluated faults are queue overflows caused by insufficient or unaligned capacities. Separate behavioral faults are evaluated through contradictory or permanently false signal clauses. The approach is evaluated with a two-industrial-robot-arm sorting application, but the empirical evaluation is limited to one case study and several author-created fault scenarios. Tooling is publicly referenced, while complete replication instructions and artifact details are limited.</t>
  </si>
  <si>
    <t>Distributed Petri Nets for Model-Driven Verifiable Robotic Applications in ROS</t>
  </si>
  <si>
    <t>ICF; BSE</t>
  </si>
  <si>
    <t>DiNeROS formally models ROS nodes, topics, services, channel capacities, external signals, and node-internal workflows using Petri nets. Its primary defect target is incorrect interaction and communication configuration, including topic queue overflow, unused topics, services that are never called or never return, and dead nodes. BSE is additionally assigned because the paper directly evaluates unsatisfiable signal clauses and incorrect workflow conditions. The implementation is ROS 1: it uses the ROS Master, RosJava and the common subset of Java/C++ ROS client libraries; ROS 2 support is explicitly left as future work. The verification input is a PNML-based System Model rather than target application source code. Evaluation includes two physical industrial robot arms and runtime ROS execution, not a robotics simulator. QA4 is Partial because the evaluation is based on one controlled, small-scale case study and partial state-space exploration. QA5 is Partial because a DiNeROS tooling website is provided, but no versioned replication package, complete experimental configuration, or fully documented reproduction workflow is identified in the paper.</t>
  </si>
  <si>
    <t>Formal Verification of ROS Based Systems Using a Linear Logic Theorem Prover</t>
  </si>
  <si>
    <t>Mixed</t>
  </si>
  <si>
    <t>The primary target is the consistency and compatibility of the ROS computational graph, including idle publishers/subscribers, publisher–subscriber type consistency, multiple publishers on one topic, component compatibility, and whether a composed node graph can satisfy a required behavior. The Kobuki bad-design case removes cmd_vel_mux, allowing two components to publish velocity commands without arbitration and causing the desired behavior property to become unprovable; this is primarily an interactioNorchitecture fault and is coded ICF. BSE is additionally assigned for the separate runtime experiment in which injected sensor faults are evaluated against explicitly defined safety rules and behavioral requirements. The study concerns ROS 1, evidenced by HAROS, ROS 1 computational graphs, Kobuki Gazebo, nodelets, and the referenced ROS Melodic application. Source dependence is Mixed: static extraction uses the application source code and launch files through HAROS, whereas the dynamic approach uses runtime node and sensor-status information. Runtime evaluation is conducted in Kobuki Gazebo rather than on a physical robot. QA4 is Partial because evaluation consists of small proof-of-concept examples without quantitative baselines, scalability analysis, or broad subjects. QA5 is Partial because experiment source code is referenced, but the linear-logic encodings are manually produced and the complete static-verification workflow is not packaged for direct reproduction.</t>
  </si>
  <si>
    <t>Formal Analysis and Detection for ROS2 Communication Security Vulnerability</t>
  </si>
  <si>
    <t>ROS2-ICAPP; ROS2-MPIB</t>
  </si>
  <si>
    <t>The paper formally models and experimentally tests seven ROS 2 communication attacks covering topics, services, and actions. SROS2 blocks unauthenticated attackers, but an attacker possessing intercepted security profiles can authenticate and execute all seven attacks. Unauthorized publication additionally demonstrates acceptance of forged messages from a malicious publisher. No public ROS2Tester source-code repository or full replication package is reported.</t>
  </si>
  <si>
    <t>ROSCallBaX: Statically Detecting Inconsistencies in Callback Function Setup of Robotic Systems</t>
  </si>
  <si>
    <t>ROSCallBaX statically analyzes ROS 1/ROS 2 C++ and Python source code. It models callbacks, callback groups or queues, executors or spinners, spin operations and thread associations as a composition graph, then checks nine classes of execution-setup inconsistencies. Evaluation covers 30 forum posts represented by 50 test files and 30 public ROS projects. It reports 92 inconsistencies, including 81 true positives, for an overall true-positive rate of 88.04%. A public replication artifact is provided through Zenodo.</t>
  </si>
  <si>
    <t>A Novel Solution for Securing Robot Communications Based on the MQTT Protocol and ROS</t>
  </si>
  <si>
    <t>ROS1-LE; ROS1-LNA; ROS1-UTA</t>
  </si>
  <si>
    <t>The study proposes an MQTT-based gateway that protects remote ROS 1 communication using TLS payload encryption, X.509 certificates, client authentication, and MQTT authorization mechanisms. ROS1-LE is selected as the primary code because encrypted communication and its performance overhead are the principal implemented and experimentally evaluated security mechanism. ROS1-LNA is also Full because certificate-based client authentication is implemented in the evaluated architecture. ROS1-UTA is Partial because MQTT ACLs and restricted publish/subscribe rights are explicitly proposed, but topic-level authorization is not separately configured, attacked, or experimentally evaluated. The implementation uses ROS Kinetic on Ubuntu 16.04 and explicitly treats ROS 2 as future work. The solution operates through MQTT broker and bridge configuration without requiring the target ROS application source code. Experiments use three physical surveillance robots, not simulation. QA4 is Partial because only performance overhead is evaluated; the paper does not execute man-in-the-middle, hijacking, or unauthorized-access attacks. QA5 is Partial because the architecture, software components, platforms, durations, and metrics are reported, but the broker configuration, certificates, ACL files, LoadRunner scripts, and complete replication package are not published.</t>
  </si>
  <si>
    <t>From Models To Software Through Automatic Transformations: An AADL To ROS End-to-End Toolchain</t>
  </si>
  <si>
    <t>BDF</t>
  </si>
  <si>
    <t>ICF; BDF</t>
  </si>
  <si>
    <t>The toolchain transforms an AADL architecture into ROS 1 C++ packages while preserving nodes, typed ports, connections, topic names, publishers, subscribers, services, timers and launch relationships. Its main reliability relevance is preventing architectural and interface inconsistencies between the model and generated ROS implementation. Build artifacts are also generated, but no concrete build-fault experiment is presented. The autonomous-wheelchair application is only briefly described, without a systematic defect evaluation or public replication package.</t>
  </si>
  <si>
    <t>On the (In)Security of Secure ROS2</t>
  </si>
  <si>
    <t>The paper systematically analyzes the ROS 2/SROS2 implementation and identifies four security vulnerabilities across ROS 2 Eloquent, Foxy, and Galactic. ROS2-ICAPP is the primary code because V1 and V2 arise from inadequate protection and synchronization of permission policies: an adversarial robot can reuse an expired but validly signed permission file or refuse node/participant reinitialization, thereby retaining revoked publish/subscribe privileges. ROS2-ILE covers V3 and V4: insecure default signing without encryption exposes DDS participant and topology metadata, while plaintext and over-inclusive permission files leak security-policy information. The analysis requires the ROS 2 RCL/RMW source code to construct code-property graphs and abstract communication-related functions. Evaluation combines Gazebo experiments with three OpenRMF workloads and a physical testbed using three TurtleBot 3 Waffle Pi robots and AWS cloud infrastructure. The authors also evaluate a private-broadcast-encryption defense through formal analysis, attack mitigation, latency benchmarks, and CPU/RAM measurements. Supporting models, implementation details, exploits, and the open-source defense are reported as publicly available.</t>
  </si>
  <si>
    <t>ROSDiscover: Statically Detecting Run-Time Architecture Misconfigurations in Robotics Systems</t>
  </si>
  <si>
    <t>ROSDiscover reconstructs component ports, parameters and connectors from C++ source code, CMake files and ROS launch files, then checks the recovered architecture using first-order logic rules. It detects topic-name and message-type mismatches, incorrect topic remapping, dangling publishers/subscribers and architecture-related parameter misconfigurations. Evaluation uses five real ROS systems and a dataset of 29 historical bugs; 19 bugs fall within the implemented scope and 8 are detected directly. The implementation, dataset, Docker images, scripts and results are publicly available.</t>
  </si>
  <si>
    <t>缺陷证据表 / Defect-Level Evidence</t>
  </si>
  <si>
    <t>Article Title</t>
  </si>
  <si>
    <t>Defect Code</t>
  </si>
  <si>
    <t>Subcategory</t>
  </si>
  <si>
    <t>Coverage</t>
  </si>
  <si>
    <t>Evidence Statement / 证据</t>
  </si>
  <si>
    <t>Evidence Location</t>
  </si>
  <si>
    <t>Impact Category</t>
  </si>
  <si>
    <t>Evidence Provenance</t>
  </si>
  <si>
    <t>Notes</t>
  </si>
  <si>
    <t>列1</t>
  </si>
  <si>
    <t>列2</t>
  </si>
  <si>
    <t>列3</t>
  </si>
  <si>
    <t>列4</t>
  </si>
  <si>
    <t>列5</t>
  </si>
  <si>
    <t>列6</t>
  </si>
  <si>
    <t>The review states that ROS lacks a mechanism for regulating information distribution between nodes, allowing a network-visible node to transmit information on a topic. It also summarizes false-data injection, unauthorized node publishing, and unauthorized publisher/subscriber attacks.</t>
  </si>
  <si>
    <t>Sec. 3.1.1, p. 13; Sec. 3.2.1, p. 18; Table 11, pp. 29–30</t>
  </si>
  <si>
    <t>EP-HIST</t>
  </si>
  <si>
    <t>Primary code. Explicitly discussed and supported by external studies, but not independently evaluated by this paper.</t>
  </si>
  <si>
    <t>The paper explicitly states that ROS messages can be transmitted without encryption, enabling eavesdropping, and discusses TLS/DTLS and encryption-based secure channels as countermeasures.</t>
  </si>
  <si>
    <t>Sec. 3.1.1, p. 13; Sec. 3.2.1, p. 18; Table 11, p. 29</t>
  </si>
  <si>
    <t>Plaintext communication is explicitly described, but the authors perform no packet capture or independent ROS experiment.</t>
  </si>
  <si>
    <t>The review identifies poor authentication and unauthorized ROS nodes as common weaknesses and summarizes an authentication-server architecture intended to control which nodes may publish or subscribe.</t>
  </si>
  <si>
    <t>Sec. 3.2.1, p. 18; Table 11, p. 29</t>
  </si>
  <si>
    <t>Authentication weakness is explicit, but evidence is a secondary synthesis of earlier work.</t>
  </si>
  <si>
    <t>The paper reviews ROS middleware DoS attacks caused by large numbers of unauthorized publishers or subscribers. It reports increased processing, storage consumption, network unresponsiveness, message delay, and packet loss.</t>
  </si>
  <si>
    <t>Sec. 3.1.1, p. 13; Sec. 4 discussion, p. 27; Table 11, pp. 29–30</t>
  </si>
  <si>
    <t>The DoS mechanism is consistent with malicious high-rate publishing and connection occupation, but the experiments belong to cited studies rather than this review.</t>
  </si>
  <si>
    <t>The survey reports that an attacker inside a ROS network can send shutdown commands, publish adulterated messages, manipulate velocity commands, inject false or malicious data, and access ROS services without sufficient authorization.</t>
  </si>
  <si>
    <t>Sec. 3.3, p. 5; Sec. 5.3, p. 9; Sec. 6.5, p. 12; Sec. 8.2, p. 13</t>
  </si>
  <si>
    <t>Primary code. The weakness and attack consequences are explicitly synthesized from previous studies, but this paper does not independently execute or evaluate the attacks.</t>
  </si>
  <si>
    <t>The paper identifies unsecured ROS-to-ROS and node-to-node ports that communicate in plaintext. It also summarizes plain-text communications, unencrypted storage, and encryption-based countermeasures for protecting ROS node communication.</t>
  </si>
  <si>
    <t>Sec. 3.3, p. 5; Sec. 4.3, pp. 7–8; Sec. 6.1, p. 10</t>
  </si>
  <si>
    <t>Directly matches absent channel protection in ROS 1, but the evidence is secondary and no packet-level experiment is performed by the survey authors.</t>
  </si>
  <si>
    <t>The survey explicitly describes weak ROS authentication, unauthorized or rogue nodes, and the ability of malicious nodes to execute commands or alter robot behavior. It reviews authentication nodes, authorization servers, web tokens, and trusted-node mechanisms as countermeasures.</t>
  </si>
  <si>
    <t>Sec. 4.3, pp. 7–8; Sec. 5.3, p. 9; Sec. 6.5, p. 12; Sec. 8.2, p. 13</t>
  </si>
  <si>
    <t>The paper distinguishes unauthorized nodes and weak authentication from authorization of topic/service operations, supporting a separate LNA code.</t>
  </si>
  <si>
    <t>The paper states that publicly exposed ROS instances allow malicious users to access sensors and read images or other sensor information. It also cites an Internet-wide scan reporting more than 100 ROS Master instances accessible from the public Internet.</t>
  </si>
  <si>
    <t>Sec. 4.2, p. 7; Sec. 5.3, p. 9</t>
  </si>
  <si>
    <t>Explicit evidence of external network reachability and public ROS Master exposure. The Internet scan was conducted by a cited study rather than by the survey authors.</t>
  </si>
  <si>
    <t>The paper reviews cryptographic protection for ROS communication channels and the integration of TLS and DTLS into the ROS core. This explicitly indicates that baseline ROS communication requires additional channel protection to preserve confidentiality.</t>
  </si>
  <si>
    <t>Sec. V-E, “Cryptographic Solutions &amp; Protocols,” p. 21</t>
  </si>
  <si>
    <t>Primary code. The evidence is a secondary synthesis of cited ROS security studies; the authors do not independently intercept ROS traffic or evaluate plaintext communication.</t>
  </si>
  <si>
    <t>The reviewed ROS security solution introduces fine-grained control over permission to publish, subscribe, or consume data. The paper therefore explicitly recognizes the need to restrict ROS communication operations through authorization controls.</t>
  </si>
  <si>
    <t>This is discussed through a cited countermeasure rather than an independently demonstrated unauthorized publication, subscription, or service call.</t>
  </si>
  <si>
    <t>The paper states that ROS publishers cannot control who consumes their information and that unauthorized nodes can record data or publish injected messages. It further identifies access control over topic publishing and subscription as a necessary protection mechanism.</t>
  </si>
  <si>
    <t>Introduction, p. 2; Table 4, pp. 8–9; Table 6, p. 11</t>
  </si>
  <si>
    <t>Primary code. The issue is explicitly analyzed as a ROS security weakness, but evidence is synthesized from prior studies rather than independently demonstrated.</t>
  </si>
  <si>
    <t>ROS 1 network traffic is described as being transmitted in a basic, unprotected form, making it susceptible to packet eavesdropping, man-in-the-middle attacks, and network hijacking. The review states that encryption is required to protect confidential ROS information.</t>
  </si>
  <si>
    <t>Sec. IV, p. 7; Table 4, p. 8</t>
  </si>
  <si>
    <t>Directly supports absent channel protection in ROS 1, but the authors conduct no packet capture or communication experiment.</t>
  </si>
  <si>
    <t>The ROS 1 API is described as essentially anonymous, with no mechanism ensuring that received information originated from a legitimate node. The paper recommends cryptographic source verification and authentication.</t>
  </si>
  <si>
    <t>Sec. IV, p. 7; Table 4, pp. 8–9</t>
  </si>
  <si>
    <t>Supports missing node identity verification. The paper does not independently implement node impersonation or authentication bypass.</t>
  </si>
  <si>
    <t>The comparative analysis reviews Internet exposure detection through scans of ROS Master nodes. The open directions recommend testing reachability from outside the organization and installing firewalls to prevent exposure to public networks.</t>
  </si>
  <si>
    <t>Table 6, p. 11; Sec. VII and Table 7, p. 12</t>
  </si>
  <si>
    <t>External reachability is explicitly treated as a ROS security problem, but the scan results originate from a cited study.</t>
  </si>
  <si>
    <t>The review identifies a ROS denial-of-service scenario caused by unauthorized publishing at a high frequency, corresponding to malicious traffic overwhelming ROS communication or processing resources.</t>
  </si>
  <si>
    <t>Table 6, p. 11</t>
  </si>
  <si>
    <t>Explicit high-rate publishing evidence supports flow-control and QoS weakness, but no attack is executed by the review authors.</t>
  </si>
  <si>
    <t>The authors determine that SROS 2/DDS-Security encrypts transmitted application data but sends access-control policies, node names, and topic names in plaintext. Consequently, it does not provide metadata confidentiality.</t>
  </si>
  <si>
    <t>Sec. VII-J and Table I, PDF pp. 5–6, paper pp. 64–65</t>
  </si>
  <si>
    <t>EP-OBS</t>
  </si>
  <si>
    <t>Primary code. The finding was evaluated using ROS 2 Eloquent and directly matches leakage of policy and identity metadata despite security being enabled.</t>
  </si>
  <si>
    <t>The study concludes that unprotected ROS 1 provides no confidentiality for network communication. A MITM attacker can read ROS traffic, while encryption mechanisms such as SROS, Secure ROS, TLS/DTLS, AES, and VPN are required to protect it.</t>
  </si>
  <si>
    <t>Secs. V-A, VI-A and VII-A; Table I, PDF pp. 2–5</t>
  </si>
  <si>
    <t>ROS 1 confidentiality is a direct evaluation criterion rather than an incidental background statement.</t>
  </si>
  <si>
    <t>The attacker model allows an adversary to establish rogue ROS nodes, modify or inject traffic, and impersonate a compromised node. The evaluation finds that default ROS 1 lacks integrity and sender-authentication protection.</t>
  </si>
  <si>
    <t>Secs. V-A–V-B, VI-C and VII-A; Table I, PDF pp. 2–5</t>
  </si>
  <si>
    <t>The paper analytically evaluates sender identity and communication authenticity, although it does not execute a separate node-registration hijacking experiment.</t>
  </si>
  <si>
    <t>Default ROS 1 is evaluated as providing no access control. The paper explains that a compromised or rogue node must be restricted to only the topics it legitimately needs to publish or subscribe to, and compares mechanisms offering node-, host-, IP-, or certificate-based access control.</t>
  </si>
  <si>
    <t>Sec. VI-D, Sec. VII-A–VII-H and Table I, PDF pp. 3–6</t>
  </si>
  <si>
    <t>Direct evaluation of unrestricted topic access and the ability of protection mechanisms to constrain publishers and subscribers.</t>
  </si>
  <si>
    <t>Because DDS security extensions are disabled in the default ROS 2 configuration, ROS 2 provides no communication-integrity or source-authentication guarantee. A receiving node therefore cannot cryptographically verify that a message originated from a legitimate publisher.</t>
  </si>
  <si>
    <t>Sec. I-B, Sec. VI-C and Sec. VII-I; PDF pp. 1, 3 and 6</t>
  </si>
  <si>
    <t>The paper directly evaluates the missing authenticity property. No concrete forged /tf or shared-topic publisher attack is executed, but the missing publisher binding is explicitly established for default ROS 2.</t>
  </si>
  <si>
    <t>DDS-Security allows discovery, liveliness, RTPS messages, metadata, and serialized payloads to receive different protection levels: NONE, SIGN, or ENCRYPT. When discovery or metadata is only signed, participant identifiers, GUIDs, endpoint information, topology information, sequence numbers, locators, and other metadata remain visible in plaintext. The paper explains that clear-text GUID and discovery information may support masquerading and topology reconstruction.</t>
  </si>
  <si>
    <t>Governance policy discussion, pp. 4 and 6; “Performance versus security models,” pp. 9–12; especially pp. 9–10</t>
  </si>
  <si>
    <t>Primary code. The authors configure multiple DDS-Security protection combinations and measure their behavior and performance. The confidentiality gap is configuration-dependent rather than a claim that full encryption is impossible.</t>
  </si>
  <si>
    <t>ROS 2 DDS-Security depends on locally stored identity certificates, private keys, governance policies, and participant permission policies. The authors identify unresolved responsibility for policy creation and signing, note that security plug-ins are not necessarily digitally signed or vetted, and emphasize that credentials and policy files require stronger lifecycle and trust management.</t>
  </si>
  <si>
    <t>DDS security policy and plug-in discussion, pp. 4–7</t>
  </si>
  <si>
    <t>EP-CAP</t>
  </si>
  <si>
    <t>The standard supports CA signatures for governance and permission policies, so the paper does not establish that every deployment leaves them unprotected. The code reflects residual credential and policy-management exposure rather than complete absence of protection.</t>
  </si>
  <si>
    <t>DDS-Security protects data in motion but does not isolate local operating-system processes, memory, hardware components, or cryptographic libraries. The paper describes a malicious local spy process that may observe leakages from other processes and recover sensitive information such as encryption keys.</t>
  </si>
  <si>
    <t>“Systematic security review,” pp. 6–8; “Software,” p. 8; “Recommendations,” p. 13</t>
  </si>
  <si>
    <t>This is an explicit architectural gap outside the DDS messaging layer, but no spy process, cross-process memory attack, or key-recovery experiment is implemented.</t>
  </si>
  <si>
    <t>ROS2-CSCE</t>
  </si>
  <si>
    <t>The authors warn that hardware and software obtained from untrusted suppliers may introduce backdoors. They also state that DDS security service providers and plug-ins are not required to follow a signed-provider model comparable to mature cryptographic architectures, allowing a malicious component or spy process to enter the software ecosystem.</t>
  </si>
  <si>
    <t>Security plug-in discussion, p. 7; “Recommendations,” p. 13</t>
  </si>
  <si>
    <t>The supply-chain risk is directly identified, but the paper does not replace a DDS plug-in, compromise OpenSSL, or demonstrate a malicious dependency in the evaluated ROS 2 system.</t>
  </si>
  <si>
    <t>The empirical taxonomy directly identifies interaction and configuration faults involving topic and resource-name mismatches, incompatible message formats, absent or conflicting publishers, missing or incorrect nodes, namespaces, remappings, launch-file composition, environment variables, parameter-name dead writes, and missing or duplicate transforms. Figure 4 demonstrates a mistyped topic name that leaves the subscriber disconnected from the intended publisher.</t>
  </si>
  <si>
    <t>Sec. 3.3, pp. 5–7; Figs. 3–4; Listing 1</t>
  </si>
  <si>
    <t>Primary code. These faults originate in relationships and configuration bindings among ROS entities. Incorrect behavior, missing data, or node startup failure are consequences rather than separate defect codes.</t>
  </si>
  <si>
    <t>The study directly identifies semantic faults involving physical units, message-content constraints, color formats, image and point-cloud transformations, incorrect TF values or conventions, URDF properties, calibration, control parameters, robot-localization assumptions, and application/environment-dependent configuration. These cases may use syntactically valid and correctly connected interfaces while carrying an incorrect physical or behavioral meaning.</t>
  </si>
  <si>
    <t>Sec. 3.3, pp. 6–8; Fig. 3</t>
  </si>
  <si>
    <t>Use BSE for incorrect values or meanings, such as degrees versus radians, invalid TF geometry, incorrect wheel radius, unsuitable PID gains, or an inappropriate planner. Missing topic or parameter bindings remain ICF.</t>
  </si>
  <si>
    <t>The taxonomy explicitly analyzes queue-size errors, frequency mismatches, stale data, message synchronization failures, and launch-time race conditions. In the stereo-vision example, slow disparity processing causes faster image streams to fill queues and overwrite messages before synchronized inputs are available.</t>
  </si>
  <si>
    <t>Sec. 3.3, pp. 5–7; Fig. 5</t>
  </si>
  <si>
    <t>Queue overflow, missed timing assumptions, stale messages, and synchronization failures originate in runtime execution and timing mechanisms. They should not be recoded as ICF merely because communication is ultimately affected.</t>
  </si>
  <si>
    <t>ROS uses anonymous publish/subscribe semantics, weak authorization, no access-level definitions, and no conflict-resolution mechanism. A network participant can subscribe to arbitrary topics, kill nodes, send direct robot commands, or concurrently publish velocity commands that override legitimate control.</t>
  </si>
  <si>
    <t>Sec. III, p. 3; Conclusion, p. 6</t>
  </si>
  <si>
    <t>Primary code. The paper explicitly analyzes unrestricted publication, subscription, node control, and command injection as central ROS security flaws. No original attack execution is reported.</t>
  </si>
  <si>
    <t>Communication between ROS nodes is transmitted in clear text over TCP/IP or UDP/IP. The MD5 check verifies only message-structure compatibility and does not encrypt content, allowing an unauthorized listener to intercept messages, interpret their contents, and construct spoofed messages.</t>
  </si>
  <si>
    <t>Sec. III, p. 3</t>
  </si>
  <si>
    <t>Direct evidence of absent channel encryption in ROS 1. The STOP architecture consequently proposes TLS/SSL, application-layer message encryption, VPNs, and encrypted storage.</t>
  </si>
  <si>
    <t>ROS exposes unprotected TCP ports without authentication, nodes do not know the identities of communicating peers, and the system provides no sender verification or message-authenticity checking. Malicious talkers and replacement publishers/listeners can therefore join the system.</t>
  </si>
  <si>
    <t>Distinct from topic authorization: this code concerns the inability to establish and verify the identity of ROS nodes and message senders.</t>
  </si>
  <si>
    <t>The paper states that ROS provides no QoS mechanisms, leaves communication management to individual nodes, does not compact similar messages, and makes no effort to reduce communication volume. High communication volume hampers time-critical applications and enables network clogging and DoS conditions.</t>
  </si>
  <si>
    <t>Explicitly concerns missing QoS, traffic control, communication-volume management, and resistance to excessive requests or publishing.</t>
  </si>
  <si>
    <t>The centralized ROS Master naming service is described as a scalability bottleneck that is not designed to process a large volume of requests and may be exposed to DoS. In the STOP project, the authors reject a shared Master as impractical and instead assign a separate ROS Master to each robot.</t>
  </si>
  <si>
    <t>Sec. III, p. 3; Sec. IV-A and IV-C, pp. 4–5</t>
  </si>
  <si>
    <t>The centralized dependency and bottleneck are explicit, but the paper does not crash the Master or demonstrate complete graph-discovery failure. Partial is therefore more defensible than Full.</t>
  </si>
  <si>
    <t>ROS does not authenticate communication between the Master and nodes. By setting the attacker’s ROS_MASTER_URI and ROS_HOSTNAME, the attacker connects to the victim environment without further authentication and controls TurtleSim remotely.</t>
  </si>
  <si>
    <t>Sec. 2.1, p. 147; Figs. 1–2</t>
  </si>
  <si>
    <t>Primary code. The authors explicitly identify missing authentication to the Master as the common enabling cause of most demonstrated attacks.</t>
  </si>
  <si>
    <t>After entering the ROS network, the attacker can access and publish control topics. The attacker records all KOBUKI messages using rosbag record -a, replays them to reproduce robot movement, and registers a service with an existing name to replace the legitimate service.</t>
  </si>
  <si>
    <t>Secs. 2.1–2.2, p. 147; Sec. 2.4, p. 148; Figs. 7–8 and 11–12</t>
  </si>
  <si>
    <t>Covers unauthorized topic access, command replay, service registration, and service replacement. Rosbag is an attack utility here, not the underlying defect.</t>
  </si>
  <si>
    <t>ROS XML-RPC communication is transmitted without encryption. An intermediary attacker can observe the communication history and manipulate exchanged data to control the robot remotely.</t>
  </si>
  <si>
    <t>Sec. 2.3, p. 148</t>
  </si>
  <si>
    <t>The proposed Diffie–Hellman and AES-256 countermeasure confirms that absent communication encryption is the identified root problem.</t>
  </si>
  <si>
    <t>The Master-scan component invokes getSystemState() and obtains the complete list of active nodes, topics, and services. The exploitation component can then insert itself between two nodes on a selected topic and modify their communication.</t>
  </si>
  <si>
    <t>“Threat Model” and “ROSploit,” PDF pp. 1–2; Fig. 1, p. 2</t>
  </si>
  <si>
    <t>Primary code. The implemented tool directly demonstrates unrestricted discovery of ROS resources and the ability to access and manipulate topic communication without an application-defined authorization policy.</t>
  </si>
  <si>
    <t>ROSploit sends ordinary XML-RPC and TCPROS requests to open ports and can interact with identified ROS nodes without presenting a node certificate or other identity credential. The paper also identifies unauthorized publishers and subscribers as central ROS threats.</t>
  </si>
  <si>
    <t>“Security for ROS,” p. 1; “Threat Model,” p. 1; “ROSploit,” p. 2</t>
  </si>
  <si>
    <t>The tool behavior is consistent with absent peer authentication, but the paper does not separately implement or measure a node-authentication bypass experiment.</t>
  </si>
  <si>
    <t>The tool supports a MITM mode that inserts itself into communication between two ROS nodes and allows the user to inspect or alter exchanged data. The paper contrasts baseline ROS with SROS, which adds TLS encryption to address existing communication vulnerabilities.</t>
  </si>
  <si>
    <t>“Security for ROS,” p. 1; “ROSploit,” p. 2</t>
  </si>
  <si>
    <t>The communication channel is treated as insufficiently protected, but the paper does not report packet-capture results or independently quantify plaintext-data exposure.</t>
  </si>
  <si>
    <t>The authors scanned approximately 3.7 billion public IPv4 addresses for the default ROS Master port and repeatedly identified more than 100 publicly reachable ROS Masters. Publicly exposed systems revealed nodes, topics, services, parameters, sensors, actuators, robot types and research activity patterns.</t>
  </si>
  <si>
    <t>Abstract and Sec. I, p. 1; Sec. IV, pp. 2–3; Sec. V and Tables I–III, pp. 3–6</t>
  </si>
  <si>
    <t>Primary code. External network exposure is the central measured defect. The study directly establishes that ROS Masters and Rosbridge instances were reachable beyond their intended trust boundaries.</t>
  </si>
  <si>
    <t>A remote host could query ROS graph information, subscribe to camera and point-cloud topics, publish messages to change Baxter’s face and joint angles, invoke speech and neck-control services, and thereby control robot sensors and actuators without a ROS-level authorization decision.</t>
  </si>
  <si>
    <t>Sec. VI-B–VI-C, pp. 6–7; Fig. 2, p. 7</t>
  </si>
  <si>
    <t>The proof-of-concept was conducted with explicit operator consent. It demonstrates unauthorized topic access, publication and service invocation that would otherwise be available to any similarly connected attacker.</t>
  </si>
  <si>
    <t>The paper states that the ROS Master trusts every node that connects to it. For the Herb2 penetration test, the researchers only needed to set ROS_MASTER_URI, ROS_IP and local hostname resolution before their remote ROS node could interact with the target system; no ROS node credential or identity certificate was required.</t>
  </si>
  <si>
    <t>Sec. I, p. 1; Sec. III, p. 2; Sec. VI-C, p. 7</t>
  </si>
  <si>
    <t>Distinct from authorization: the remote node was accepted as a ROS participant without proving that it was a legitimate node belonging to the robot deployment.</t>
  </si>
  <si>
    <t>ROS1-IPS</t>
  </si>
  <si>
    <t>During the authors’ penetration test of their publicly exposed Baxter robot, remote XML-RPC access allowed them to inspect and modify rosparam values. They explain that changing arm-controller PID gains could place the robot in a dangerous state and cause unexpected oscillation.</t>
  </si>
  <si>
    <t>Sec. IV, p. 3; Sec. VI-B, pp. 6–7</t>
  </si>
  <si>
    <t>Direct experimental evidence of remotely modifying Parameter Server values without a ROS-level authorization check. The dangerous PID effect is a security impact and is not separately coded as a reliability fault.</t>
  </si>
  <si>
    <t>The paper states that ROS provides no authentication mechanism for managing communication between nodes. Consequently, ROS peers cannot cryptographically establish that the entity sending or forwarding communication is a legitimate robot component.</t>
  </si>
  <si>
    <t>Introduction, p. 1; Sec. III-B, p. 2</t>
  </si>
  <si>
    <t>The weakness is explicitly identified, but the implemented experiment impersonates endpoints through ARP poisoning rather than registering a rogue ROS node or demonstrating a ROS-level authentication bypass.</t>
  </si>
  <si>
    <t>The authors state that ROS lacks authorization controls and allows any computer on the network to listen to desired topics. Their tool targets the /speech_to_text topic and can be adapted to alter messages of any known ROS message type on any intercepted topic.</t>
  </si>
  <si>
    <t>Introduction, p. 1; Sec. IV, pp. 3–4</t>
  </si>
  <si>
    <t>Topic communication is experimentally accessed and modified without an application authorization decision. Coverage is Partial because the attack captures network traffic rather than subscribing or publishing through the ROS Master API.</t>
  </si>
  <si>
    <t>The paper states that a ROS node may publish data to arbitrary topics without prior authorization. An attacker on the same network can therefore send false speed, position, or navigation information, causing the robot to execute unexpected actions or enter dangerous regions. The proposed security controller limits speed, stops near people, and returns the robot from the staircase to a safe location.</t>
  </si>
  <si>
    <t>Sec. IV-A, pp. 3–4; Figs. 2–4</t>
  </si>
  <si>
    <t>Primary code. The weakness and mitigation logic are explicit, but the paper does not implement and measure an actual malicious publisher or topic-injection attack.</t>
  </si>
  <si>
    <t>The false-information scenario is enabled because publishers can interact with ROS topics without pre-authentication. The system therefore cannot establish that a node sending commands is an authorized participant before accepting its messages.</t>
  </si>
  <si>
    <t>Sec. IV-A, p. 3</t>
  </si>
  <si>
    <t>Separate from authorization: this code captures the absence of participant identity verification. No authentication-bypass experiment or rogue-node registration trace is reported.</t>
  </si>
  <si>
    <t>The authors explain that every node can publish arbitrary content to topics subscribed to by a target node, enabling traffic-flooding DoS. Their controller monitors message count, CPU usage, CPU temperature, RAM usage, and battery consumption, shuts down the affected robot, and assigns its task to a standby robot.</t>
  </si>
  <si>
    <t>Sec. IV-B, pp. 4–6; Figs. 5–7</t>
  </si>
  <si>
    <t>The Gazebo scenario demonstrates the security-controller response to a detected DoS condition. However, the paper does not specify an implemented flooding node, publication rate, packet volume, threshold values, or measured resource-exhaustion curve, so Partial is more defensible than Full.</t>
  </si>
  <si>
    <t>Anonymous attackers can query the complete ROS graph and invoke unrestricted Master and Slave API operations. ROSPenTo uses forged publisherUpdate calls to disconnect legitimate publishers, attach unauthorized publishers, isolate services and inject false sensor data. Roschaos can unregister publishers, subscribers, services and complete nodes, or remotely invoke node shutdown.</t>
  </si>
  <si>
    <t>Secs. 2.3–2.5, pp. 4–7; Secs. 3.1–3.3, pp. 7–11; Sec. 4, pp. 13–31; Sec. 5, pp. 31–36</t>
  </si>
  <si>
    <t>Primary code. The tools directly demonstrate unauthorized topic manipulation, false publication, service disruption, action interference and node termination.</t>
  </si>
  <si>
    <t>ROS 1 does not authenticate XML-RPC callers. Node identity is derived entirely from attacker-controlled parameters such as caller_id, node name and API URI, without cryptographic proof. This permits attackers to impersonate the Master, publishers, nodes or service providers when invoking registration, update and shutdown methods.</t>
  </si>
  <si>
    <t>Sec. 1, p. 2; Sec. 2.2–2.5, pp. 4–7</t>
  </si>
  <si>
    <t>The lack of identity validation is not merely background: ROSPenTo and Roschaos rely on forged caller identities to make unauthorized API calls appear legitimate.</t>
  </si>
  <si>
    <t>The ROS Parameter Server applies no ownership or namespace-based access restriction and gives anonymous clients read and write access. ROSPenTo demonstrates unsubscribing a C++ node from legitimate parameter updates and sending a forged paramUpdate, changing the value observed locally while the value stored on the Parameter Server remains unchanged. Roschaos can also delete or manipulate parameters and subscriptions.</t>
  </si>
  <si>
    <t>Sec. 2.4, p. 6; Sec. 3.4, pp. 12–13; Sec. 4.1, pp. 25–27; Sec. 5.1, pp. 32–34</t>
  </si>
  <si>
    <t>Direct experimental evidence of unauthorized parameter inspection, update, deletion and desynchronization. The attack can cause different nodes to observe inconsistent values for the same parameter.</t>
  </si>
  <si>
    <t>The paper states that ROS 1 TCP/UDP communication has no confidentiality protection or authenticated encryption, making network eavesdropping straightforward. It contrasts baseline ROS with SROS and other secure ROS variants that add encryption.</t>
  </si>
  <si>
    <t>Sec. 1, p. 2; Sec. 2.2, p. 4; Sec. 6.2, pp. 37–38</t>
  </si>
  <si>
    <t>The confidentiality weakness is explicit, but ROSPenTo and Roschaos mainly exploit XML-RPC authorization flaws rather than presenting an independent packet-capture or plaintext-content experiment.</t>
  </si>
  <si>
    <t>A malicious ROS publisher can increase its publication rate from 4 Hz to 400 Hz and continuously send dummy messages with valid content. ROS provides no effective mechanism in the evaluated configuration to constrain the publisher rate or prevent the messages from filling the wireless router queue and consuming subscriber computation resources. The attack substantially increases latency, packet loss and critical-node processing time.</t>
  </si>
  <si>
    <t>Secs. 3.2 and 4.1–4.2, pp. 334–335; Figs. 5–6; Secs. 5.2–5.3, pp. 337–339; Figs. 8–11</t>
  </si>
  <si>
    <t>Primary code. The paper directly implements and quantitatively evaluates high-rate publishing, communication congestion and resource exhaustion in ROS Melodic.</t>
  </si>
  <si>
    <t>TCPROS and XMLRPC lack authentication or identity verification. The authors exploit this weakness through ARP spoofing and by introducing a malicious publisher, forcing a legitimate subscriber to communicate with the attacker-controlled node.</t>
  </si>
  <si>
    <t>Abstract; Sec. IV-B, pp. 4–5; Conclusion, p. 6</t>
  </si>
  <si>
    <t>Primary code. Authentication weakness is directly analyzed and experimentally exploited on the physical ROS platform.</t>
  </si>
  <si>
    <t>ROS node messages are transmitted in cleartext. The authors intercept the 48-byte serialized /cmd_vel control message using a MITM attack, identify the linear and angular velocity fields with Wireshark, modify the values and forward the altered message to the robot.</t>
  </si>
  <si>
    <t>Sec. IV-B(a), p. 4; Figs. 5–8, pp. 4–5</t>
  </si>
  <si>
    <t>Cleartext TCPROS traffic is directly captured and modified; this is stronger than a general capability claim.</t>
  </si>
  <si>
    <t>The attack tool invokes getSystemState and publisherUpdate, creates a malicious node with the required message type and injects fake images into the object-detection node without authorization. The injected data prevents correct target detection and disrupts robot tracking.</t>
  </si>
  <si>
    <t>Sec. IV-B(b), p. 5; Figs. 9–12, p. 5</t>
  </si>
  <si>
    <t>Direct experimental evidence of unauthorized publishing and false-data injection through ROS APIs.</t>
  </si>
  <si>
    <t>The ROS Master API accepts publisher, subscriber and service registration or deregistration without authentication. Using roschaos, the authors unregister the /publisher node, after which the listener stops receiving messages even though the publisher process remains active. The ROS Slave API publisherUpdate method is also unauthenticated; ROSPenTo sends a forged empty publisher list directly to /listener, causing it to disconnect from the legitimate publisher.</t>
  </si>
  <si>
    <t>Sec. 2, pp. 42–43; Sec. 3, pp. 43–45; PDF pp. 2–5</t>
  </si>
  <si>
    <t>Primary code. Both demonstrated attacks share the same primary root cause: unauthenticated ROS control-plane API calls.</t>
  </si>
  <si>
    <t>The paper states that ROS TCP/UDP communication is not encrypted and that eavesdropping is easy, allowing any network participant to read application data.</t>
  </si>
  <si>
    <t>Introduction and Sec. 1, pp. 41–42; PDF pp. 1–2</t>
  </si>
  <si>
    <t>Explicit ROS 1 plaintext weakness, but the authors do not perform packet interception or independently evaluate confidentiality loss.</t>
  </si>
  <si>
    <t>EP-CLAIM</t>
  </si>
  <si>
    <t>The paper states that any ROS node can publish data without proper authorization, inject malicious instructions and subscribe to arbitrary topics to obtain sensitive information. It further notes that application-level protection cannot prevent malicious publishers from sending messages or unauthorized subscribers from subscribing to topics.</t>
  </si>
  <si>
    <t>Sec. 2.1, p. 2; Sec. 2.2, p. 3; Table 1, p. 4</t>
  </si>
  <si>
    <t>Primary code. The vulnerability is directly reviewed, but the paper does not independently implement or evaluate an unauthorized publishing/subscription attack.</t>
  </si>
  <si>
    <t>The paper describes weak authentication in ROS and states that the ROS Master can register a new malicious node without detecting the attacker. Authentication servers and validation of nodes are reviewed as necessary countermeasures.</t>
  </si>
  <si>
    <t>Sec. 2.2, p. 3; Sec. 2.3, p. 4; Sec. 3.1, p. 7</t>
  </si>
  <si>
    <t>The evidence concerns malicious-node registration and node validation, distinct from authorization to publish or subscribe.</t>
  </si>
  <si>
    <t>The paper explicitly states that ROS messages may be transmitted without encryption, enabling eavesdropping. It reviews SSL/TLS, symmetric encryption and DDS cryptographic plug-ins as mechanisms for protecting ROS communication.</t>
  </si>
  <si>
    <t>Sec. 2.2, p. 3; Table 1, p. 4; Sec. 3.1, p. 7</t>
  </si>
  <si>
    <t>Plaintext ROS communication is explicit, but no packet capture or independent confidentiality experiment is reported.</t>
  </si>
  <si>
    <t>The review explains that an attacker can publish a large volume of bogus ROS messages, bombard subscribers, impose heavy processing load and prevent meaningful processing. It also notes that application-level encryption does not prevent a malicious publisher from launching a high-frequency DoS attack.</t>
  </si>
  <si>
    <t>Sec. 2.1, p. 2; Sec. 2.2, p. 3</t>
  </si>
  <si>
    <t>Directly matches malicious high-rate publishing and absent traffic regulation, but the attack is summarized from earlier work.</t>
  </si>
  <si>
    <t>The paper explicitly identifies unencrypted TCPROS message transmission and unencrypted data storage as major ROS 1 security problems. It explains that attackers may capture confidential medical information or perform MITM packet modification, and the proposed architecture therefore relies on network isolation and optional encryption for confidential nodes.</t>
  </si>
  <si>
    <t>Abstract; Sec. I, p. 1; Sec. II, pp. 1–2; Sec. IV-B, p. 3; Conclusion, p. 4</t>
  </si>
  <si>
    <t>Primary code. Plaintext ROS 1 communication is a direct object of the study and a primary driver of the proposed architecture, although the authors do not perform packet interception themselves.</t>
  </si>
  <si>
    <t>The paper reviews authentication-server, certificate, HMAC and authorization/authentication-node solutions and states that external devices must pass authentication and authorization before entering the proposed hospital network. Connections between ROS nodes may also require additional authentication.</t>
  </si>
  <si>
    <t>Sec. III, p. 2; Sec. IV-B, p. 3; Conclusion, p. 4</t>
  </si>
  <si>
    <t>Missing authentication is explicitly treated as a security requirement, but the paper does not demonstrate node impersonation, malicious registration or authentication bypass.</t>
  </si>
  <si>
    <t>The authors create large numbers of malicious publisher and subscriber nodes to overload ROS communication. Subscriber attacks force a publisher to answer excessive data requests, while publisher attacks flood a subscriber with messages and consume processing, storage and network resources. The experiments demonstrate substantial delay and packet loss that increase with attack volume.</t>
  </si>
  <si>
    <t>Sec. 3, pp. 1053–1055; Sec. 4.2–4.3, pp. 1057–1067; Figs. 3, 5–20</t>
  </si>
  <si>
    <t>EP-SEED</t>
  </si>
  <si>
    <t>Primary code. This directly matches malicious high-rate publishing/subscribing and inadequate flow or resource control in ROS 1.</t>
  </si>
  <si>
    <t>A transport-layer attack floods the ROS Master port. The paper explains that if the Master becomes unavailable, new nodes cannot join and publisher/subscriber requests cannot be processed. It also states that damage to the Master can disable the entire ROS system, unlike attacks on an individual node.</t>
  </si>
  <si>
    <t>Sec. 2.2, pp. 1052–1053; Sec. 3, pp. 1053–1055; Sec. 4.2, p. 1057</t>
  </si>
  <si>
    <t>Separate from topic flooding because this attack specifically exploits the centralized Master as a system-wide failure point.</t>
  </si>
  <si>
    <t>The paper states that any device that discovers the ROS Master can freely publish messages or subscribe to nodes. The experimental attacks create unauthorized publisher and subscriber nodes and use them to access existing ROS topics without authorization.</t>
  </si>
  <si>
    <t>Sec. 2.2, pp. 1052–1053; Sec. 3, pp. 1054–1055; Sec. 4.2, pp. 1057–1058</t>
  </si>
  <si>
    <t>The unauthorized access enables the attack, while ROS1-LFQ captures the separate volumetric flooding mechanism.</t>
  </si>
  <si>
    <t>The authors scan the complete IPv4 address space for ROS 1 Master services on TCP port 11311 and identify an average of approximately 194 publicly accessible ROS hosts per scan. The exposed systems include likely physical cleaning robots, drones and autonomous vehicles, some of which reveal sensor, topic, service and parameter metadata.</t>
  </si>
  <si>
    <t>Abstract; Sec. III-A–B, pp. 2–4; Tables I–II</t>
  </si>
  <si>
    <t>Primary code. Public Internet exposure is the direct empirical object of the study.</t>
  </si>
  <si>
    <t>The paper states that the ROS 1 Master accepts connections and commands from arbitrary sources without built-in security or authentication. The scanning system connects to exposed Masters and invokes passive XML-RPC commands without credentials.</t>
  </si>
  <si>
    <t>Sec. III introduction and Sec. III-A, p. 2</t>
  </si>
  <si>
    <t>Authentication absence is directly demonstrated at the Master interface, but the authors do not perform malicious node registration, impersonation or authentication bypass attacks.</t>
  </si>
  <si>
    <t>The study explains that an attacker connected to an exposed ROS host could retrieve system information and inject data or commands. Its passive scanner successfully obtains topic, service and parameter names using getSystemState and getParamNames, although the authors intentionally avoid changing system state or accessing sensitive content.</t>
  </si>
  <si>
    <t>Sec. III introduction and Sec. III-A, pp. 2–3; Fig. 1</t>
  </si>
  <si>
    <t>Direct evidence of unrestricted information-query access; unauthorized publishing or command injection is explicitly identified but not experimentally executed for ethical reasons.</t>
  </si>
  <si>
    <t>SlowROS establishes enough TCP connections to occupy the ROS Master’s connection slots and file descriptors, then keeps the connections idle or transmits partial legitimate requests. The authors experimentally determine that the Master has effectively no idle-connection timeout: one connection remained open for approximately 11.85 days, and 1147 malicious connections were sufficient to exhaust the default server capacity.</t>
  </si>
  <si>
    <t>Abstract; Sec. 4.3, pp. 9–12; Sec. 6.1–6.3, pp. 13–17; Tables 1–2</t>
  </si>
  <si>
    <t>Primary code. The defect directly matches connection occupation and missing flow/resource-control safeguards. It is an existing weakness of the standard ROS Noetic Master, not an author-seeded software defect.</t>
  </si>
  <si>
    <t>Exhausting the centralized ROS Master prevents publishers and subscribers from registering or recovering. Because the ROS Master and Parameter Server run in the same process and share file descriptors, existing nodes also lose parameter access, eventually causing a complete systemwide lockup that affects the physical robot-control application.</t>
  </si>
  <si>
    <t>Sec. 3.2, pp. 5–6; Fig. 4, p. 12; Sec. 6.4, pp. 17–18; Conclusion, pp. 21–22</t>
  </si>
  <si>
    <t>Separate from ROS1-LFQ: LFQ represents the connection-resource weakness, while SPF captures the systemwide consequence of attacking the centralized Master.</t>
  </si>
  <si>
    <t>DDS-Security v1.1 exchanges digitally signed participant permission documents in plaintext during the authentication and cryptographic handshake. An observer can recover topic, partition, data-tag and publish/subscribe capabilities without decrypting protected application messages. The authors capture these permission tokens, reconstruct the data-bus topology and identify critical information-flow paths that may be targeted for selective DoS or network partitioning.</t>
  </si>
  <si>
    <t>Abstract and Sec. I, pp. 57–58; Sec. II-B–C, p. 58; Sec. III–VI, pp. 59–62; Figs. 2–6</t>
  </si>
  <si>
    <t>Primary code. The exposed permission and topology metadata are directly observed and used by the implemented reconnaissance pipeline.</t>
  </si>
  <si>
    <t>ROS 2 internal RCL APIs and CLI tools allow a malicious node to create a new context that does not inherit the parent node’s namespace, Domain ID or security restrictions. The attacker can also set ROS_SECURITY_ENCLAVE_OVERRIDE and attach a leaked SROS2 enclave to the new node. In the Open-RMF experiment, a low-privilege cleaning robot escapes its original domain and namespace, obtains a privileged enclave and sends commands to protected door-control topics.</t>
  </si>
  <si>
    <t>Sec. IV-A, pp. 16443–16444; Listing 1; Sec. V-A, p. 16445; Fig. 3</t>
  </si>
  <si>
    <t>Primary code. The closest code is insufficient credential and access-policy protection because SROS2 enclaves are weakly bound to node names and may be reused by newly created malicious contexts.</t>
  </si>
  <si>
    <t>SROS2 grants permissions at topic level. Once a node obtains access to a shared or colliding topic, it receives full access to all messages on that topic. Moreover, an authorized intermediate node may copy protected information from one topic to an unprotected topic because ROS 2 does not track information flow across topics. The authors demonstrate this in Autoware, where sensitive system-error and hardware-state information from /diagnostics becomes available through the public /diagnostics_err topic.</t>
  </si>
  <si>
    <t>Sec. IV-B, p. 16444; Sec. V-B, p. 16445; Figs. 1 and 5</t>
  </si>
  <si>
    <t>The issue is broader than field-level overprivilege: permission is enforced only at topic boundaries and does not constrain individual data flows or retransmission between topics.</t>
  </si>
  <si>
    <t>Although SROS2 authenticates nodes, ROS 2 topic messages do not carry a verifiable binding between message content and the originating publisher. Multiple publishers can write to a shared topic, while subscribers cannot identify or filter the sender. The authors exploit this on Autoware’s global /tf topic by publishing transformations with spoofed frame identifiers, causing the estimated vehicle location to drift from the true location.</t>
  </si>
  <si>
    <t>Sec. IV-B.1, p. 16444; Sec. V-B, p. 16445; Fig. 4</t>
  </si>
  <si>
    <t>Direct experimental evidence of missing message-to-publisher identity binding and source spoofing.</t>
  </si>
  <si>
    <t>The paper states that ROS communication was designed without security and identifies plaintext communication as the central confidentiality weakness. The authors implement encryption and decryption nodes, show that an unprotected topic can reveal its message content, and show that the attacker receives only ciphertext after the payload is protected with 3DES.</t>
  </si>
  <si>
    <t>Abstract; Sec. I, p. 1; Sec. II–III, pp. 2–3; Fig. 3, p. 2; Fig. 5, p. 5; Conclusion, p. 7</t>
  </si>
  <si>
    <t>Primary code. Plaintext ROS 1 communication is the direct object of the study, and the confidentiality effect of adding encryption is experimentally demonstrated.</t>
  </si>
  <si>
    <t>The simulated attacker discovers the ROS Master through a network scan, starts a malicious ROS node and successfully subscribes to /sensor/encrypt/messages without topic-level authorization. Encryption prevents interpretation of the payload but does not prevent the unauthorized subscription itself.</t>
  </si>
  <si>
    <t>Sec. III, pp. 2–3; Fig. 3, p. 2</t>
  </si>
  <si>
    <t>This is independent of encryption: ROS1-UTA captures unrestricted subscription, while ROS1-LE captures the absence of channel confidentiality.</t>
  </si>
  <si>
    <t>The paper identifies plaintext ROS communication as a major security weakness. The authors encrypt ROS String messages with AES, publish encrypted and plaintext messages to /chatter, and use a ROSRV monitor to detect and discard messages that do not exhibit the expected encrypted-data characteristics.</t>
  </si>
  <si>
    <t>Abstract; Sec. 1, pp. 1–3; Sec. 2.2–2.4, pp. 5–8; Sec. 3, pp. 8–10; Figs. 4, 6 and 7</t>
  </si>
  <si>
    <t>Primary code. Plaintext transmission is the direct ROS weakness addressed and experimentally demonstrated.</t>
  </si>
  <si>
    <t>A separate ROS node is able to publish plaintext messages to the same /chatter topic used by the legitimate encrypted publisher. Without the ROSRV semantic monitor, the communication layer itself does not prevent those messages from entering the topic; the monitor must intercept and discard them.</t>
  </si>
  <si>
    <t>Sec. 1, p. 3; Sec. 2.4, p. 8; Sec. 3, pp. 8–10; Figs. 4 and 7</t>
  </si>
  <si>
    <t>The experiment demonstrates unrestricted additional publishing, but it does not define an explicit authorization policy or evaluate broader unauthorized topic/service access; therefore coverage is Partial.</t>
  </si>
  <si>
    <t>The paper states that the ROS 1.x Master cannot authenticate nodes attempting to connect. New nodes can join the ROS network without prior identity verification. The authors therefore implement an AA node that validates a node name and password against a database and returns a runtime-generated communication key after successful login.</t>
  </si>
  <si>
    <t>Sec. I-A.1, PDF p. 2; Sec. IV–VI, PDF pp. 3–5; Figs. 1–7</t>
  </si>
  <si>
    <t>Primary code. Lack of node authentication is explicitly identified as a native ROS 1.x weakness and is the principal mechanism addressed by the proposed architecture.</t>
  </si>
  <si>
    <t>Native ROS 1.x nodes may freely subscribe to existing topics, advertise new topics and communicate with other nodes without authorization. The proposed AA node maintains roles and rights, validates communication keys and determines whether a node is permitted to publish or subscribe to a topic.</t>
  </si>
  <si>
    <t>Abstract and Sec. I-A.1, PDF pp. 1–2; Sec. IV–VII, PDF pp. 3–5; Fig. 8</t>
  </si>
  <si>
    <t>Authentication and authorization are separate concerns: ROS1-LNA covers establishing node identity, while ROS1-UTA covers unrestricted topic operations after joining the graph.</t>
  </si>
  <si>
    <t>Native ROS subscribers cannot reliably verify the identity and integrity of message publishers. The proposed architecture therefore requires each publisher and subscriber to authenticate with a dedicated server through certificates and a challenge–response protocol. In the robot demonstration, the malicious publisher cannot authenticate and consequently receives no valid topic key.</t>
  </si>
  <si>
    <t>Abstract and Sec. I, PDF p. 1; Sec. II-A–C, PDF pp. 2–3; Sec. III-B, PDF p. 5</t>
  </si>
  <si>
    <t>Primary code. Missing publisher/subscriber identity verification is the earliest common root cause addressed by the security architecture.</t>
  </si>
  <si>
    <t>ROS permits a malicious publisher to register and send arbitrary joint-control commands and permits an unauthorized subscriber to subscribe to robot-state topics. Without security, the KUKA iiwa executes the injected movement commands. With the proposed layer, unauthorized messages are rejected and unauthorized subscribers receive ciphertext they cannot interpret.</t>
  </si>
  <si>
    <t>Sec. I and II, PDF pp. 1–3; Sec. III–IV, PDF pp. 4–5; Figs. 3–4</t>
  </si>
  <si>
    <t>ROS itself still allows the unauthorized publish or subscribe operation; the application layer only prevents the resulting data from being accepted or understood.</t>
  </si>
  <si>
    <t>The paper identifies eavesdropping of robot-state and production-process data as a direct ROS threat. Topic-specific symmetric keys encrypt command and state information, while digital signatures provide integrity and publisher authenticity. A subscriber without the decryption key may receive the ROS messages but cannot recover their contents.</t>
  </si>
  <si>
    <t>Abstract and Sec. I, PDF p. 1; Sec. II-D, PDF p. 3; Sec. III–IV, PDF pp. 4–5</t>
  </si>
  <si>
    <t>Confidentiality protection is implemented and demonstrated at the application layer, rather than integrated into TCPROS itself.</t>
  </si>
  <si>
    <t>Plain ROS permits a node to publish data for an arbitrary topic, subscribe to any topic and invoke services without prior topic-level authorization. The authors demonstrate how a fake publisher can inject false safety data and how RosPenTo can isolate legitimate publishers and redirect a subscriber toward attacker-controlled data.</t>
  </si>
  <si>
    <t>Sec. 3.1–3.4, journal pp. 194–196; PDF pp. 3–5; Sec. 6, journal pp. 199–200; Table 1</t>
  </si>
  <si>
    <t>Primary code. Unauthorized publishing, subscription and communication manipulation are the paper’s central attack families and are directly exercised by its penetration-testing workflow.</t>
  </si>
  <si>
    <t>The ROS Master and Slave XMLRPC interfaces do not authenticate or authorize callers. An attacker can invoke getSystemState, lookupNode and publisherUpdate; the subscriber does not verify that publisherUpdate originates from a legitimate ROS Master. The authors exploit these interfaces to reconstruct the graph and alter the subscriber’s publisher list.</t>
  </si>
  <si>
    <t>Sec. 3.4–3.4.1, journal pp. 195–196; PDF pp. 4–5; Figs. 2–4</t>
  </si>
  <si>
    <t>Separate from ROS1-UTA: LNA captures unauthenticated caller identity and control-plane APIs, while UTA captures unrestricted topic, service and data operations.</t>
  </si>
  <si>
    <t>Native ROS node-to-node communication lacks confidentiality and integrity protection, permitting eavesdropping and message manipulation. The authors modify ROS Kinetic communication to perform TLS for TCPROS and DTLS for UDP before exchanging headers and topic data, ensuring encrypted and authenticated communication.</t>
  </si>
  <si>
    <t>Sec. 4–5.2, journal pp. 197–199; PDF pp. 6–8; Fig. 6; Table 1</t>
  </si>
  <si>
    <t>The weakness is directly addressed through an implemented ROS-core secure channel covering topics, services and actions.</t>
  </si>
  <si>
    <t>The paper explains that an attacker can publish a large volume of bogus topic messages, imposing high processing load and preventing a subscriber from performing meaningful work. The application-level protection cannot prevent such publishing and therefore remains vulnerable to high-frequency DoS.</t>
  </si>
  <si>
    <t>Sec. 3.3, journal p. 195; PDF p. 4; Sec. 4.2, journal p. 198; PDF p. 7</t>
  </si>
  <si>
    <t>The flooding mechanism and missing traffic restriction are explicit, but the paper does not report a controlled DoS experiment, request rate, resource curve or packet-loss measurement.</t>
  </si>
  <si>
    <t>The attack analysis states that an adversary can perform targeted modifications to parameters used by a particular ROS node through the ROS Parameter Server.</t>
  </si>
  <si>
    <t>Sec. 3.4.1, journal p. 196; PDF p. 5</t>
  </si>
  <si>
    <t>This is a concrete Parameter Server attack capability, but it is mentioned briefly and is not executed or evaluated with RosPenTo in the reported experiments.</t>
  </si>
  <si>
    <t>The paper states that vanilla ROS provides no basic permission-control mechanism: every node can publish or subscribe to any topic and invoke any service without restriction. The authors implement a policy-based access manager that grants or denies access tokens, controls topic/service access and supports runtime permission revocation. In the experiment, a non-operator is denied robot-control permissions, an authorized operator is granted access, and previously granted permissions are revoked in fail-safe mode.</t>
  </si>
  <si>
    <t>Abstract and Sec. I, p. 1; Sec. II-A, p. 2; Secs. III–IV, pp. 2–5; Sec. V, pp. 5–6; Figs. 1–4 and Table I</t>
  </si>
  <si>
    <t>Primary and only defect code. The unrestricted-access weakness is the direct object of the proposed method and is evaluated through explicit access-grant, access-denial and revocation cases.</t>
  </si>
  <si>
    <t>The paper assumes that, without message authentication, an attacker can inject a false trajectory or control reference into a ROS agent and cause the robot to track an attacker-selected trajectory. The authors construct an explicit false-data-injection model and evaluate normal and malicious reference-tracking cases.</t>
  </si>
  <si>
    <t>Sec. I, p. 1; Sec. III-B, p. 2; Sec. V, pp. 5–6; Fig. 3</t>
  </si>
  <si>
    <t>Primary and only defect code. The attack is an author-defined synthetic case rather than an observed ROS vulnerability, but it is the direct object of the method and numerical evaluation.</t>
  </si>
  <si>
    <t>The paper explicitly states that ROS lacks authentication between the ROS Master and nodes, enabling an attacker to impersonate a robot using its IP address or pretend to be a ROS Master through XML-RPC APIs. The proposed platform authenticates TurtleBots through unique codes, addresses, public keys, certificates and a tailored OAuth mechanism before they can join the ROS network.</t>
  </si>
  <si>
    <t>Sec. II, p. 2; Sec. III, pp. 2–3; Sec. IV-C, pp. 3–4; Table II</t>
  </si>
  <si>
    <t>Primary code. Missing identity verification is directly identified as an ROS weakness and addressed by an implemented authentication workflow.</t>
  </si>
  <si>
    <t>The authors state that unauthenticated and unauthorized entities can send and receive ROS messages. Their platform introduces hierarchical authorization and restricts which TurtleBots may communicate by distributing only the public keys of authorized peers; compromised robots can also be removed from the ROS network.</t>
  </si>
  <si>
    <t>Sec. II, p. 2; Table II, p. 3; Sec. IV-C–E, pp. 3–5; Table III</t>
  </si>
  <si>
    <t>Separate from authentication: this code concerns permission to access communication and services after identity establishment.</t>
  </si>
  <si>
    <t>The platform is designed to prevent interception and reading of ROS data by encrypting messages before placing them in XML-RPC communications. It uses TLS for TurtleBot-to-platform communication and public-key or AES encryption for communication among TurtleBots.</t>
  </si>
  <si>
    <t>Abstract and Sec. I, p. 1; Table II, p. 3; Sec. IV-D, p. 4; Sec. VI, p. 6</t>
  </si>
  <si>
    <t>The lack of protected ROS communication is a direct design target, and encryption is implemented in the proof-of-concept platform.</t>
  </si>
  <si>
    <t>The paper states that remote non-native ROS clients can connect through rosbridge without proper authentication. The authors implement an external authenticator, MAC-protected security tokens and a rosauth verification node. Connections with invalid keys or altered token fields are immediately terminated.</t>
  </si>
  <si>
    <t>Abstract and Sec. I, p. 1; Secs. III–IV, pp. 3–4; Sec. V-C–D, p. 5; Figs. 1–3</t>
  </si>
  <si>
    <t>Primary code. Missing remote-client identity verification is the direct object of the implemented and evaluated solution.</t>
  </si>
  <si>
    <t>The paper identifies unsecured ROS TCP ports and plaintext node-to-node communication as enabling message interception and interpretation. The implemented architecture uses SSL, HTTPS and Secure WebSockets to provide confidentiality and integrity for remote ROS communication.</t>
  </si>
  <si>
    <t>Sec. II-B, p. 2; Sec. III, p. 3; Sec. IV, pp. 3–4; Fig. 1</t>
  </si>
  <si>
    <t>Encryption is integrated into the operational remote-access pipeline, although encryption performance is not separately benchmarked.</t>
  </si>
  <si>
    <t>The authors explain that rosbridge creates an externally reachable TCP entry point into ROS and that existing systems had operated live on the Internet using open, unsecured ports. Their architecture places ROS behind a firewall and permits external access only through VPN or an authorized SSL port.</t>
  </si>
  <si>
    <t>Sec. I, pp. 1–2; Sec. II-C, p. 2; Sec. IV and Fig. 1, pp. 3–4; Sec. V-A, p. 4</t>
  </si>
  <si>
    <t>External Internet reachability is explicit and is a direct deployment concern of the proposed system.</t>
  </si>
  <si>
    <t>The paper acknowledges that authenticated clients may still obtain access to the entire ROS system and directly publish or subscribe to topics beyond their privileges. It proposes a future authorization node that would map user levels to permitted topic and service names, but does not implement or evaluate this mechanism.</t>
  </si>
  <si>
    <t>Sec. VII, p. 6</t>
  </si>
  <si>
    <t>Explicitly recognized authorization limitation, but only proposed as future work; therefore Partial rather than Full.</t>
  </si>
  <si>
    <t>The paper states that data in the existing TCP/IP-based ROS transmission framework may be sent in plaintext and intercepted by malicious parties. AuthROS captures ROS topic data, encrypts it with SM4, signs it with SM2 and transfers the encrypted data through the blockchain-supported infrastructure. Encryption and decryption are implemented and benchmarked using different message sizes.</t>
  </si>
  <si>
    <t>Abstract and Sec. I, pp. 2–3; Sec. IV-C–G, pp. 5–7; Sec. V-C–D, pp. 8–10; Figs. 2, 4, 6 and 9</t>
  </si>
  <si>
    <t>Primary code. Plaintext transmission and interception are direct design targets, and the encryption mechanism is implemented and evaluated.</t>
  </si>
  <si>
    <t>The paper states that attackers can obtain ROS data through the publisher–subscriber model. AuthROS implements smart-contract-based authority granting so that only Ethereum accounts holding the required token and SM4 key can query and decrypt shared robot data.</t>
  </si>
  <si>
    <t>Sec. I, pp. 2–3; Sec. IV-C, p. 5; Sec. V-B–C, pp. 8–9; Authority Grant and Data Query contract functions</t>
  </si>
  <si>
    <t>The authorization mechanism is implemented, but it controls access to data after it enters the AuthROS/blockchain layer. It does not prevent an unauthorized node from subscribing directly to the original ROS topic; therefore coverage is Partial rather than Full.</t>
  </si>
  <si>
    <t>AuthROS registers users and robots with identity tokens, Ethereum account addresses and SM2 public keys. Digital signatures and identity checks are used to reject forged or unverified data sources, and the paper explicitly identifies node forging as an attack the framework is intended to prevent.</t>
  </si>
  <si>
    <t>Abstract, p. 2; Sec. I, pp. 2–3; Sec. IV-C–F, pp. 5–7; Fig. 4</t>
  </si>
  <si>
    <t>Authentication applies to participants in the AuthROS data-sharing layer. The paper does not modify ROS Master registration or experimentally demonstrate malicious ROS node registration, so it does not justify Full ROS1-LNA coverage.</t>
  </si>
  <si>
    <t>The paper states that ROS does not encrypt transmitted data by default and demonstrates that TCPROS messages can be intercepted and interpreted through port mirroring or man-in-the-middle access. The proposed L2Topic method encrypts topic data using AES-256 before publication and decrypts it at the subscriber. Wireshark captures show readable plaintext before protection and unintelligible ciphertext after protection.</t>
  </si>
  <si>
    <t>Sec. I, p. 1; Sec. II-A–B, pp. 1–2; Sec. III, p. 3; Sec. IV, p. 4; Figs. 2, 6 and 10</t>
  </si>
  <si>
    <t>Primary and only defect code. Lack of ROS 1 channel encryption is the direct object of the implemented method and experimental evaluation.</t>
  </si>
  <si>
    <t>The authors show that ROS 2 Ardent maps subsystem namespaces across DDS topics and partitions in a way that complicates precise policy enforcement. Adding the empty DDS partition to permit node startup causes unintended access: the talker can reach objects intended for the listener, producing false-positive permissions and cross-talk. The evaluation also identifies unnecessary permissions retained in the default SROS2 policy template.</t>
  </si>
  <si>
    <t>Sec. III-B, pp. 4–5; Fig. 5, p. 6; Sec. IV, p. 7</t>
  </si>
  <si>
    <t>Primary and only defect code. The paper directly constructs exhaustive subject–object permission graphs, compares intended semantic policy with actual DDS transport behavior and observes unintended allowed and denied operations.</t>
  </si>
  <si>
    <t>The paper states that standard ROS lacks security measures and that unauthorized agents must be blocked through graph-level access-control profiles. It proposes rules that explicitly allow or deny nodes access to topics, services, parameters and Slave API operations, with audit, complain and enforce modes for deriving and deploying policies.</t>
  </si>
  <si>
    <t>Sec. 2, pp. 2–3; Sec. 3.2, p. 4; Sec. 4–4.2, pp. 4–7; Conclusion, p. 12</t>
  </si>
  <si>
    <t>Primary code. Unrestricted access to ROS graph resources is the direct design target, but the proposed policy system is not experimentally evaluated.</t>
  </si>
  <si>
    <t>The proposed architecture uses X.509 identity certificates, certificate authorities and attribute certificates to identify agents and prevent unauthorized entities from accessing the ROS graph. It discusses monolithic, autonomic and chained-certificate models as well as a server-side attribute authority.</t>
  </si>
  <si>
    <t>Sec. 2, pp. 2–3; Sec. 3.2, p. 4; Sec. 5–5.2, pp. 7–10</t>
  </si>
  <si>
    <t>Authentication is an explicit architectural requirement, but the paper does not implement or demonstrate malicious-node registration, identity spoofing or authentication rejection in a ROS system.</t>
  </si>
  <si>
    <t>The paper identifies the absence of communication security in ROS and recommends TLS/SSL with X.509 certificates to provide confidentiality, authenticity and integrity. It describes SROS transport encryption as a necessary component of hardening ROS communication.</t>
  </si>
  <si>
    <t>Sec. 2, pp. 2–3; Sec. 3.2, p. 4; Conclusion, p. 12</t>
  </si>
  <si>
    <t>Encryption is discussed mainly through SROS and architectural recommendations. The authors do not capture plaintext ROS traffic or implement and benchmark an encryption mechanism.</t>
  </si>
  <si>
    <t>The paper defines security properties restricting which ROS nodes may publish or subscribe to sensitive command topics. In the TurtleBot experiment, the authors create a bogus node that publishes an unauthorized shutdown command. The generated monitor detects the illegal command–publisher pair and identifies the bogus node.</t>
  </si>
  <si>
    <t>Sec. III-B, p. 679; Sec. VI-A, pp. 685–686; Eqs. 11–12; EXP.2</t>
  </si>
  <si>
    <t>Direct seeded unauthorized-publishing case. The evidence supports unrestricted topic access rather than a benign communication/configuration fault.</t>
  </si>
  <si>
    <t>The paper identifies the unprotected ROS topic transport channel as exposing messages to unauthorized parties. CryptoROS proposes TLS 1.2 encryption between Interceptors to protect peer-to-peer message and service communication. However, XML-RPC requests and responses remain unencrypted, and the architecture is not implemented or evaluated.</t>
  </si>
  <si>
    <t>Sec. II, p. 190; Sec. III-A–B, pp. 191–192; Table I and Sec. IV, p. 194</t>
  </si>
  <si>
    <t>Primary code. The category is a central design objective, but only a proposed capability. Protection is also incomplete because XML-RPC traffic remains plaintext.</t>
  </si>
  <si>
    <t>The paper states that ordinary ROS communication cannot prove that publishers and subscribers are genuine. CryptoROS proposes X.509 certificates, TLS authentication, signed Access Tokens, and signature verification to authenticate Managers and communication entities.</t>
  </si>
  <si>
    <t>Sec. II, p. 190; Sec. III-A–C, pp. 191–193; Fig. 3 and Fig. 5</t>
  </si>
  <si>
    <t>Authentication is explicitly addressed, but no node-impersonation experiment or authentication-bypass evaluation is reported.</t>
  </si>
  <si>
    <t>The paper explains that ROS nodes may freely publish, subscribe, advertise services, or call services without prior authorization. CryptoROS proposes access-control policies embedded in signed tokens, checked by Interceptors before allowing these operations.</t>
  </si>
  <si>
    <t>Sec. II, p. 190; Sec. III-A–C, pp. 191–193; Fig. 5; Sec. IV, p. 194</t>
  </si>
  <si>
    <t>The paper also cites a historical physical-robot case in which malicious ROS messages were injected. CryptoROS itself is not experimentally tested against that attack. Unauthorized subscription additionally produces IMP-DS.</t>
  </si>
  <si>
    <t>The paper identifies unrestricted high-volume topic publishing as a cause of subscriber overload and denial of service. It claims that authentication and authorization reduce the DoS attack surface and suggests dropping unauthorized XML-RPC shutdown requests.</t>
  </si>
  <si>
    <t>Sec. II, p. 190; Sec. III-A, p. 191; Table I and Sec. IV, p. 194</t>
  </si>
  <si>
    <t>No rate-limiting, throttling, queue-control algorithm, load test, or DoS performance result is presented. The claimed mitigation mainly blocks unauthorized participants.</t>
  </si>
  <si>
    <t>The paper identifies that sensitive ROS message contents, certificates and cryptographic keys may remain accessible as clear data in memory to privileged attackers. TROS encrypts ROS message payloads with AES-256, authenticates them with HMAC/SHA-256 and confines clear data and keys inside SGX enclaves. Memory-dump and DMA experiments recover sensor data from ordinary ROS but fail to recover the corresponding protected data from TROS.</t>
  </si>
  <si>
    <t>Sec. 4.1–4.2, pp. 6–7; Sec. 5.1, pp. 8–9; Sec. 7.1, pp. 11–12; Fig. 10</t>
  </si>
  <si>
    <t>Primary code. The principal contribution is confidentiality protection for ROS-managed data. The exact weakness is broader than network plaintext because it includes data in use; ROS1-LE is the closest fixed confidentiality code in the manual.</t>
  </si>
  <si>
    <t>TROS protects node IDs, X.509 certificates and node-registration records inside the Master and node enclaves. Registration requires mutual attestation and verification against an encrypted static list of authorized nodes. The two misuse cases attempt to register or replace legitimate components with a fake robot-driver node and a malicious sensor-source node.</t>
  </si>
  <si>
    <t>Sec. 4.2, p. 7; Sec. 5.1, pp. 8–9; Sec. 6, pp. 10–11; MC1–MC2</t>
  </si>
  <si>
    <t>The paper directly evaluates protection against fake-node registration and identity replacement.</t>
  </si>
  <si>
    <t>The misuse cases include unauthorized publication of malicious Twist commands to the NAO velocity-control topic and transmission of tampered obstacle coordinates to the global and local costmaps. TROS prevents these operations by checking protected publisher and node lists before allowing registration and communication.</t>
  </si>
  <si>
    <t>Sec. 6, pp. 10–11; Sec. 7.2, pp. 12–13; Figs. 12–13; MC1–MC2</t>
  </si>
  <si>
    <t>Unauthorized publishing is experimentally demonstrated in the unprotected configuration and prevented by TROS. The resulting collision or unsafe motion is an impact, not a BSE reliability defect.</t>
  </si>
  <si>
    <t>The paper explicitly argues that a root-level attacker can steal SSL/TLS certificates and keys or modify namespace permissions used by ROS 2 and related secure ROS variants. This can enable decryption, malicious-node authorization, unauthorized publishing and unauthorized subscription.</t>
  </si>
  <si>
    <t>Sec. 3, pp. 5–6; Sec. 4.1, pp. 6–7; Figs. 5–6</t>
  </si>
  <si>
    <t>The mechanism matches inadequate local protection of credentials and policies, but the TROS prototype is not implemented or tested on ROS 2.</t>
  </si>
  <si>
    <t>The paper states that the complexity of ROS 2 security remains prone to human error, particularly during access-control artifact distribution. SROS2 implements tools to create identity and permission certificate authorities, generate signed identities, governance and permission files, organize enclave artifacts and translate ROS-level policies into DDS permissions. However, secure artifact deployment is not provided, and certificate/key lifecycle management remains incomplete.</t>
  </si>
  <si>
    <t>Sec. II, p. 2; Sec. III-B–E, pp. 3–5; Sec. IV–V, pp. 5–6</t>
  </si>
  <si>
    <t>The tool and case study are real, but the coded defect requires evidence that credentials or policies lack adequate protection against modification, replacement or downgrade. The paper discusses this boundary without conducting such an attack.</t>
  </si>
  <si>
    <t>ROS 2 Composition allows multiple nodes to execute inside one container process and share an address space. The paper’s threat model assumes that an attacker exploits a memory vulnerability such as a buffer overflow in one node and then attempts to read or modify memory belonging to other nodes or the ROS client library. ROSEC assigns separate MPK-protected memory regions to each node and permits access only while the corresponding node is executing.</t>
  </si>
  <si>
    <t>Abstract and Sec. I, pp. 10546–10548; Sec. III, p. 10549; Sec. IV, pp. 10549–10552</t>
  </si>
  <si>
    <t>EP-PROP</t>
  </si>
  <si>
    <t>Primary code. The attack model and isolation property are defined by the authors. The immediate evaluated consequence is cross-node memory tampering, although ROS2-LRI is fixed under Availability in the codebook.</t>
  </si>
  <si>
    <t>The evaluation compares ordinary process isolation, unsecured ROS 2 Composition and Composition protected by ROSEC. It evaluates single-threaded and multithreaded executors, memory overhead, key exhaustion and reassignment, callback latency, an image-processing application and attempts to neutralize the MPK isolation. The security analysis concludes that a compromised node can access only memory associated with its own protection key, rather than other nodes or the client library.</t>
  </si>
  <si>
    <t>Sec. V-A–F, pp. 10553–10556; Figs. 10–17; Table II</t>
  </si>
  <si>
    <t>A second evidence row is justified because it records the direct evaluation of the same defect family. ROSEC incurs 6.4% overhead in the camera-based real-world application.</t>
  </si>
  <si>
    <t>The paper states that DDS Security provides authentication, access control and cryptographic protection while assuming the local machine is trusted. A compromised ROS 2 node or privileged local attacker may exploit masquerading credentials, alter registered services, access private keys or modify security configuration. The proposed architecture places DDS, encrypted files, parameters, policies and secrets inside SCONE/SGX and uses an attested ID and Permission Manager to verify nodes and control policy updates.</t>
  </si>
  <si>
    <t>Abstract and Sec. I, p. 693; Sec. II, p. 694; Fig. 1</t>
  </si>
  <si>
    <t>Directly matches inadequate local protection of credentials and policies. Coverage is Partial because the architecture is not implemented or experimentally evaluated. Sensitive-data theft also implies IMP-DS, but integrity protection is the principal emphasis.</t>
  </si>
  <si>
    <t>The paper identifies node impersonation as a principal DDS security weakness: an attacker may create a rogue publisher or subscriber, pose as a trusted node and obtain unauthorized permission to send or read data. DDS-C integrates Kerberos authentication into ROS 2/DDS so that every publisher and subscriber must obtain a valid ticket using its assigned keytab before participating in communication. An impersonated node without the correct keytab is denied a ticket and cannot publish or subscribe. The implemented ROS 2 testbed measures the additional authentication traffic generated by this mechanism.</t>
  </si>
  <si>
    <t>Sec. 1, pp. 3617–3618; Sec. 2.2, pp. 3620–3624; Figs. 2–4; Sec. 3, pp. 3630–3639</t>
  </si>
  <si>
    <t>Primary code. Authentication is implemented and exercised in the testbed, but the experiments do not actually launch a rogue or impersonated node. The mechanism authenticates participants before communication rather than cryptographically signing every individual ROS 2 message.</t>
  </si>
  <si>
    <t>The paper explains that SROS2 restricts which topics an application may publish or subscribe to, but once an authorized application receives protected data, ROS 2 provides no mechanism for the original data owner to control how that application subsequently republishes or derives information from the data. A legitimate subscriber can therefore relay protected content to another, less protected topic and cause data exfiltration. Picaros binds DIFC labels to individual data objects using attribute-based encryption and enforces no-reads-up and no-writes-down rules across downstream application chains.</t>
  </si>
  <si>
    <t>Abstract and Sec. I, pp. 1–2; Sec. II, pp. 3–5; Figs. 1–2; Sec. III–IV, pp. 6–11</t>
  </si>
  <si>
    <t>Primary code. The study defines and implements message/data-object-level confidentiality properties and evaluates the enforcing prototype. The cases are author-constructed application pipelines rather than independently observed real-world leaks.</t>
  </si>
  <si>
    <t>The paper identifies application-level behavioral safety violations that are not prevented by ordinary ROS, including the LandShark firing while its gun points toward itself, leaving a defined safe zone and tipping over because of unsafe speed or acceleration. ROSRV generates monitors from formal event specifications and can drop trigger messages or modify motion messages when the corresponding behavioral property is violated. The safe-trigger, safe-zone and logging monitors are demonstrated on the LandShark platform.</t>
  </si>
  <si>
    <t>Sec. 2.1, p. 3; Sec. 3.1, pp. 4–5; Appendix A, p. 8; Figs. 2 and 4</t>
  </si>
  <si>
    <t>Primary code. The monitored conditions are explicit behavioral and domain-safety properties. They are not implementation, wiring or scheduling faults.</t>
  </si>
  <si>
    <t>The paper states that any ROS node may publish or subscribe to arbitrary topics and may issue sensitive commands such as shutting down another node. RVMaster checks the requesting host, topic and command against user-defined [Publishers], [Subscribers] and [Commands] policies. In the attacker-node demonstration, unauthorized nodes are prevented from publishing to protected topics and killing legal nodes.</t>
  </si>
  <si>
    <t>Sec. 1, pp. 1–2; Sec. 2.1, p. 3; Sec. 3.2, pp. 5–6; Appendix A, p. 8; Fig. 5</t>
  </si>
  <si>
    <t>Directly evaluated unrestricted topic and command access. The policy covers both publish/subscribe permissions and privileged ROS Master operations.</t>
  </si>
  <si>
    <t>ROS node names are self-reported, and a newly created node with an existing name may replace the legitimate node. The paper describes an attacker killing a navigation node and creating a fake node that publishes bogus messages. ROSRV’s [Nodes] policy binds permitted node names to designated host identities, and the demonstration shows that an attacker cannot pretend to be an existing legal node.</t>
  </si>
  <si>
    <t>Sec. 1, pp. 1–2; Sec. 2.1, p. 3; Sec. 3.2, pp. 5–6; Appendix A, p. 8</t>
  </si>
  <si>
    <t>Full coverage because node impersonation is explicitly described, mitigated and demonstrated. The mechanism relies on source IP addresses rather than cryptographic identity, which remains a documented limitation.</t>
  </si>
  <si>
    <t>The paper defines application-level behavioral properties over ROS messages and evaluates them using a simulated Mars Curiosity rover. The monitor intercepts commands on the wheels_control topic and checks whether turning commands exceed speed 10 or forward/backward commands exceed speed 15. Messages violating the property are discarded before reaching the rover controller, preventing unsafe high-speed turns that could cause the rover to roll over or crash.</t>
  </si>
  <si>
    <t>Sec. 2, pp. 4–11; Sec. 3.1, pp. 11–13; Listing 3 and Curiosity property specification</t>
  </si>
  <si>
    <t>Primary code. The fault is a violation of an author-defined behavioral and domain-safety property. No lower-level programming, communication configuration or scheduling root cause is established.</t>
  </si>
  <si>
    <t>The paper states that ROS topics and services have no effective access control beyond message-type compatibility, allowing arbitrary nodes to join topics, publish forged messages or directly establish connections outside the expected ROS graph. ROSDN maintains mappings among nodes, topics, services, ports and network flows, translates ROS-Policy-Language rules into OpenFlow rules and filters unauthorized connections at the SDN layer.</t>
  </si>
  <si>
    <t>Sec. I–II, pp. 114–115; Sec. IV-A–D, pp. 116–117; Figs. 1–3</t>
  </si>
  <si>
    <t>Primary code. Topic- and service-level authorization is directly implemented. The evaluation confirms that the policy-enforcement infrastructure runs on physical and virtual ROS systems, although it does not report a systematic unauthorized-publishing attack suite.</t>
  </si>
  <si>
    <t>The paper identifies denial of service and compromised-node traffic as gaps in existing ROS and SROS protection. ROSWatch profiles traffic volume, publishing rate, dropping rate, message age and activity duration, while ROS-Policy-Language supports bandwidth limits through OpenFlow meter tables and can drop traffic above configured thresholds.</t>
  </si>
  <si>
    <t>Sec. I, p. 114; Sec. IV-A, C–D, pp. 116–118</t>
  </si>
  <si>
    <t>Flow-rate controls and traffic anomaly rules are implemented, but no dedicated DoS or publisher-flood attack experiment, detection rate or false-positive analysis is reported.</t>
  </si>
  <si>
    <t>The ROS attacker model states that network messages have no authentication, allowing an attacker to impersonate nodes, ROS Master or Parameter Server and spoof connections from arbitrary addresses. ROS-Defender correlates ROS graph state with observed ports and network flows and can block connections from nodes that do not comply with policy.</t>
  </si>
  <si>
    <t>Sec. III, p. 116; Sec. IV-A–B, pp. 116–117</t>
  </si>
  <si>
    <t>The paper directly analyzes impersonation, but ROS-Defender does not introduce cryptographic node authentication. Its enforcement depends on ROS Master state, network observations and, where enabled, SROS certificates.</t>
  </si>
  <si>
    <t>The paper explicitly states that ordinary ROS node-to-node, node-to-Master and node-to-Parameter-Server communication is unencrypted and can be observed, intercepted or modified. ROS-Policy-Language can check whether traffic appears encrypted using entropy estimation, and ROS-Defender can operate together with SROS/TLS, but it does not itself encrypt ROS traffic.</t>
  </si>
  <si>
    <t>Sec. I–III, pp. 114–116; Sec. IV-D, pp. 117–118</t>
  </si>
  <si>
    <t>The confidentiality defect is analyzed, but the proposed system primarily monitors or enforces whether encryption is present rather than supplying an independent encryption protocol.</t>
  </si>
  <si>
    <t>The proposed RIPS rule language can inspect the number and identity of publishers and subscribers associated with a ROS 2 topic. Functions such as publishers, publishersinclude, topicpublishers and topicpublishersinclude allow the system to detect a publisher that is not part of the expected ROS 2 computation graph. RIPS may then issue an alert, execute a filtering program or transition the robot to a more restrictive System Mode.</t>
  </si>
  <si>
    <t>Sec. 4.3–4.4, pp. 5–6; Sec. 5, pp. 6–8; Figs. 1 and 3</t>
  </si>
  <si>
    <t>Primary code. The capability directly addresses unexpected or impersonated publishers on shared topics, but no forged-publisher or publisher-impersonation attack is executed. The experimental RIPS core is emulated.</t>
  </si>
  <si>
    <t>The paper explicitly states that a RIPS rule can maintain a message counter together with the current time to detect flooding attacks. Its action model can execute an external firewall or filtering program, increase the alert level and switch the robot to a restricted or halted operating mode.</t>
  </si>
  <si>
    <t>Sec. 4.3, p. 5; Sec. 4.4.1, pp. 5–6</t>
  </si>
  <si>
    <t>Flooding detection and mitigation are explicit design capabilities, but the evaluation contains no authenticated-node flooding experiment, traffic-rate benchmark, detection accuracy or false-positive measurement.</t>
  </si>
  <si>
    <t>The method directly monitors callback response time and invocation frequency as indicators of abnormal execution. In the evaluation, the authors modify the callbackJointState callback by injecting delays of 10–100 ms and 500–1000 ms, shortening its normal 500 ms interval to 100–200 ms, or extending it to 900–1000 ms. Isolation Forest, OCSVM and Autoencoder are then evaluated on detecting these temporal callback deviations.</t>
  </si>
  <si>
    <t>Sec. III-C–D, pp. 60766–60767; Sec. IV-B–F, pp. 60767–60771; Fig. 4; Table 1; Tables 3–5</t>
  </si>
  <si>
    <t>Primary code. The directly manipulated and measured defect locus is callback execution timing. Coverage does not establish the prevalence of real ROS 2 executor faults because the cases are author-created.</t>
  </si>
  <si>
    <t>The four malicious scenarios are designed to emulate direct and indirect DoS behavior. The burst scenario increases callback invocation frequency to represent Ping of Death or SYN flooding, while the response-time and delayed-frequency scenarios emulate RUDY, Slowloris and related service-degradation attacks.</t>
  </si>
  <si>
    <t>Sec. I, pp. 60763–60765; Sec. IV-B, pp. 60767–60768; Fig. 5; Table 1</t>
  </si>
  <si>
    <t>Partial because the experiments perturb a callback directly; they do not implement an authenticated DDS publisher or service client, nor separately demonstrate that missing throttling or backpressure permits the attack.</t>
  </si>
  <si>
    <t>The attack model allows a fake node to publish to the camera image topic and to intercept, inject, modify or replay camera frames. The evaluated cases include black or white frame insertion, past-image replay, image blurring, object concealment and modification of a traffic light from red to green. The proposed detector is directly evaluated on all ten attack scenarios.</t>
  </si>
  <si>
    <t>Sec. I-A, p. 1; Sec. II, p. 2; Fig. 1; Table I; Sec. IV-D, pp. 4–5</t>
  </si>
  <si>
    <t>Primary code. The direct defect mechanism is unauthorized publication and alteration of data on a ROS topic. Object misclassification is the resulting impact rather than a BSE fault.</t>
  </si>
  <si>
    <t>Scenarios 5 and 6 inject multiple successive duplicate or black images to flood the image-processing node. These flooding sequences are included in the experimental dataset and evaluated using the reconstruction model.</t>
  </si>
  <si>
    <t>Sec. II, p. 2; Table I; Fig. 2; Sec. IV-D, p. 5; Fig. 6</t>
  </si>
  <si>
    <t>Directly evaluated malicious message flooding. The paper does not implement rate limiting, queue control or mitigation; it detects the resulting anomalous frames.</t>
  </si>
  <si>
    <t>The adversarial model assumes that an attacker can create a fake ROS node and insert it between the camera publisher and image-processing subscriber. However, the paper does not separately test malicious registration, duplicate node identity, certificate validation or authentication bypass.</t>
  </si>
  <si>
    <t>Sec. I-A, p. 1; Sec. II, p. 2; Fig. 1</t>
  </si>
  <si>
    <t>The fake node is part of the assumed attack model, while the evaluation operates on already perturbed image sequences. Therefore, node authentication receives Partial rather than Full.</t>
  </si>
  <si>
    <t>The paper states that ROS node communication lacks protection and may allow attackers to learn confidential information or conduct a man-in-the-middle attack. Nevertheless, the proposed detector neither analyzes plaintext network traffic nor implements encryption.</t>
  </si>
  <si>
    <t>Sec. I-A–B, p. 1</t>
  </si>
  <si>
    <t>Lack of communication confidentiality is explicitly discussed but is not part of the experimental evaluation.</t>
  </si>
  <si>
    <t>The paper explicitly defines the studied attack as unauthorized publishing. The attacker invokes publisherUpdate on the /gazebo subscriber, adds a fake publisher named /turtlebot3_false, and injects incorrect movement messages into /cmd_vel in parallel with the legitimate /turtlebot3_drive publisher. The resulting network traffic is used to train and evaluate the SVM detector.</t>
  </si>
  <si>
    <t>Sec. III-B, p. 225; Sec. IV-A–B, pp. 226–227; Figs. 2, 4 and 5</t>
  </si>
  <si>
    <t>Primary code. This is a directly implemented and evaluated topic-injection attack. The resulting unpredictable movement and collision risk are secondary functional impacts.</t>
  </si>
  <si>
    <t>The paper states that ROS nodes do not need to identify or authenticate themselves before acting and that the ROS Master cannot enforce a mapping between topics and legitimate nodes. The experiment uses a fake ROS node, but it does not separately evaluate duplicate-node registration, identity impersonation, certificate validation or authentication bypass.</t>
  </si>
  <si>
    <t>Sec. III-A, pp. 224–225; Sec. IV-A, p. 227</t>
  </si>
  <si>
    <t>Authentication absence is an explicit enabling condition, but the evaluated mechanism is unauthorized publishing rather than a distinct node-authentication experiment.</t>
  </si>
  <si>
    <t>ROS 1 allows nodes to participate in open topics without adequate authorization. In the evaluated attack, RosPenTo is used to compromise the /cmd_vel control topic: legitimate commands from /jaus_mobility are overwritten by unintended traffic originating from /gvrbot_imu_filter, causing /gvrbot_mobility to receive false control information. The attack is executed in real time on the physical GVR-BOT and is used to construct the malicious training and test data.</t>
  </si>
  <si>
    <t>Sec. II, pp. 2275–2276; Sec. V, p. 2279; Fig. 6; Sec. VI-A, pp. 2279–2280; Figs. 7–9</t>
  </si>
  <si>
    <t>Primary code. The experimentally demonstrated mechanism is unauthorized modification and injection of control-topic data.</t>
  </si>
  <si>
    <t>The paper identifies ROS 1’s anonymous graph structure, lack of payload-authenticity verification, and inability to identify malicious participants as enabling conditions for the attack. However, it does not separately evaluate node registration impersonation, duplicate node names, certificates, challenge-response authentication, or authentication bypass.</t>
  </si>
  <si>
    <t>Sec. I, p. 2274; Sec. II, pp. 2275–2276</t>
  </si>
  <si>
    <t>Authentication weakness is explicit, but the experimental case focuses on control-topic traffic replacement rather than a distinct node-authentication attack.</t>
  </si>
  <si>
    <t>The paper explicitly states that ROS 1 network traffic is unencrypted, allowing attackers to eavesdrop, record or manipulate data and conduct man-in-the-middle attacks. Nevertheless, the experimental outcome is command-data replacement rather than a separately measured confidentiality breach, packet-decryption experiment or intercepted sensitive-data case.</t>
  </si>
  <si>
    <t>Plaintext communication is an explicit enabling weakness, but confidentiality loss is not independently evaluated.</t>
  </si>
  <si>
    <t>In the replay scenario, an attacker creates and registers a ROS node, requests information about the target publisher, subscribes to the target data, records two minutes of legitimate data and then continuously republishes the recorded data to the robotic system. The attack is implemented against the physical robotic-arm environment and directly evaluated using the resulting joint-position and velocity traces.</t>
  </si>
  <si>
    <t>Sec. III-A.1, p. 20551; Fig. 4; Sec. III-B.1, pp. 20551–20552; Fig. 6; Sec. V, pp. 20555–20558</t>
  </si>
  <si>
    <t>Primary code. Replay is an unauthorized ROS data-access and republication operation. Its principal consequence is replacement of current system information with previously valid data.</t>
  </si>
  <si>
    <t>In the subscriber-flood scenario, the attacker sends multiple consecutive subscription requests to ROS-Master. ROS-Master then attempts to process and propagate the requests, leading to Master overload or crash, delays in robotic-arm movements and temporary loss of responsiveness. Three one-minute flooding periods are injected and evaluated in the physical testbed.</t>
  </si>
  <si>
    <t>Sec. I, p. 20548; Sec. III-A.2, p. 20551; Fig. 5; Sec. III-B.2, pp. 20551–20552; Fig. 7; Sec. V, pp. 20557–20558</t>
  </si>
  <si>
    <t>Directly implemented ROS-specific DoS case. The authors report that the arm remained unresponsive for approximately four minutes after the second attack.</t>
  </si>
  <si>
    <t>Both attack scenarios rely on an attacker being able to create and register a node with ROS-Master without authentication. The paper also explicitly states that ROS lacks the authentication mechanisms required for basic access control. However, it does not separately test node-name impersonation, certificate validation, registration authentication or identity-binding mechanisms.</t>
  </si>
  <si>
    <t>Sec. I, p. 20548; Sec. III-A, p. 20551</t>
  </si>
  <si>
    <t>Lack of node authentication is an explicit enabling condition, but the evaluated attack objectives are replay and flooding rather than authentication bypass itself.</t>
  </si>
  <si>
    <t>ROZZ directly detects 43 real bugs in ten ROS 2 programs: six null-pointer dereferences, five use-after-free defects, three buffer or stack overflows, eleven invalid-pointer accesses and eighteen uncaught exceptions. Root-cause analysis attributes confirmed bugs to callback data races and incorrect synchronization, missing or incorrect validation and exception handling, and stack-memory misuse. Twenty bugs were confirmed and fixed by ROS developers. The ROS 1 evaluation additionally finds two invalid-pointer accesses and four uncaught exceptions.</t>
  </si>
  <si>
    <t>Sec. IV-A–B, pp. 6788–6790; Tables II–III; Fig. 6; Sec. IV-D, p. 6790; Table V</t>
  </si>
  <si>
    <t>Primary and only supported leaf code. Most defects cause node crashes or abnormal termination of robot tasks; some memory-safety defects may also cause undefined robot behavior or create security risk.</t>
  </si>
  <si>
    <t>ROFER finds 88 real implementation defects across 13 ROS 2 programs: 10 null-pointer dereferences, 8 use-after-free defects, 14 buffer or stack overflows, 17 invalid-pointer accesses and 39 unhandled exceptions. Root-cause analysis shows defects involving harmful data races during message handling, missing synchronization, incorrect handling of configuration parameters, missing or incorrect safety checks, and improper exception handling. Forty-six bugs were confirmed by ROS developers.</t>
  </si>
  <si>
    <t>Sec. 5.2–5.3, pp. 769–772; Tables 4–6; Figs. 5–6</t>
  </si>
  <si>
    <t>Primary and only supported leaf code. The observed consequences include initialization failure, loss of response, abnormal stopping, collision and incorrect task completion.</t>
  </si>
  <si>
    <t>RROSFuzz supplies identical six-joint target-angle arrays to the Python moveit_commander and C++ move_group_interface implementations. Approximately 60.78% of the 15,246 test cases produce inconsistent end-effector positions or orientations. Validation using final joint-angle values shows that 74.56% of inconsistent cases are closer to the result of move_group_interface. The authors attribute the discrepancy to joint-angle overflow or incorrect angle handling in moveit_commander.arm.go(), which can prevent the arm from reaching the specified target and may cause obstacle collision.</t>
  </si>
  <si>
    <t>Sec. IV-B–D, pp. 2786–2789; Figs. 7–10; Tables III–IV; Sec. VII, p. 2790</t>
  </si>
  <si>
    <t>Primary and only supported leaf code. The defect is identified through inconsistent robot-motion semantics rather than a crash, memory-safety violation or ROS communication failure.</t>
  </si>
  <si>
    <t>The paper directly defines and evaluates three semantic-correctness families: violations of physical laws, violations of robot specifications, and cyber-physical discrepancies. RoboFuzz detects specification and behavioral faults in PX4, TurtleBot3, MoveIt 2, and Turtlesim, including unconstrained acceleration, incorrect motor and joint limits, inconsistent simulated and physical behavior, zero velocity reported during movement, and physically infeasible states.</t>
  </si>
  <si>
    <t>Abstract; Sec. 2.3, pp. 449–450; Secs. 4.1–4.4, pp. 452–453; Sec. 5.1 and Table 2, pp. 454–456</t>
  </si>
  <si>
    <t>Primary code. The defects were triggered with concrete messages, replayed for validation, and many were acknowledged or fixed by developers.</t>
  </si>
  <si>
    <t>RoboFuzz directly discovers implementation-level defects in ROSIDL, rclpy, rclcpp, and application controllers, including type confusion, missing range and type validation, implicit value conversion, incorrect return logic, missing NULL checks causing null-pointer dereference, unhandled exceptions, and unreachable error-checking code.</t>
  </si>
  <si>
    <t>Secs. 4.5–4.6, pp. 453–454; Table 2, bugs 16–30, p. 456; Sec. 6, p. 457</t>
  </si>
  <si>
    <t>IMP-FA; IMP-OA</t>
  </si>
  <si>
    <t>These are coded by implementation root cause rather than by the resulting physical or semantic symptom. Bug 27 produces a hard failure through null-pointer dereference.</t>
  </si>
  <si>
    <t>Table 2 reports an acknowledged mismatch in the PX4 trajectory-setpoint message definition. This is a direct ROS message-interface contract defect rather than merely an incorrect downstream behavior.</t>
  </si>
  <si>
    <t>Sec. 5.1, Table 2, bug 03, p. 456</t>
  </si>
  <si>
    <t>Limited to the distinct message-definition mismatch. Other specification and physical-property violations remain BSE.</t>
  </si>
  <si>
    <t>DiscoFuzzer treats discontinuous or unexpected changes in robotic outputs as correctness anomalies. It calculates first and second derivatives, checks whether past inputs improperly dominate current states, and detects output fields that change contrary to their normal input–output relationships. The motivating example detects uncontrolled rapid joint rotation caused by failure to enforce a physical constraint. Its discontinuity analysis detected 63 distinct issues, including six previously unknown issues.</t>
  </si>
  <si>
    <t>Abstract; Sec. 2 and Fig. 1, pp. 2–4; Sec. 4.2, pp. 6–7; Sec. 5.3 and Fig. 4, p. 9</t>
  </si>
  <si>
    <t>EP-HIST; EP-OBS</t>
  </si>
  <si>
    <t>Primary code. The method directly targets violations of physical continuity and expected robotic behavior. The paper calls these findings vulnerabilities, but the evaluated root cause is primarily internal behavioral correctness rather than missing authorization or another security policy.</t>
  </si>
  <si>
    <t>The paper explicitly discusses memory-overflow effects, floating-point calculation errors, division values tending toward infinity, propagation of NaN/infinity and process crashes. DiscoFuzzer includes a separate crash detector, which identified 22 distinct issues. However, the paper does not describe the implementation root cause of each detected benchmark issue, so crashes alone are insufficient for Full GPE coverage.</t>
  </si>
  <si>
    <t>Sec. 2.2, p. 4; Secs. 4.2–4.3, pp. 6–7; Sec. 5.3, p. 9</t>
  </si>
  <si>
    <t>IMP-OA; IMP-FA</t>
  </si>
  <si>
    <t>Partial because the capability and observed failure manifestations are explicit, but detailed source-level root causes are mainly stored in external issue trackers and an unavailable benchmark JSON file.</t>
  </si>
  <si>
    <t>R2D2 discovered 39 previously unknown implementation defects: 23 memory-related defects and 16 concurrency-related defects. Table 1 explicitly reports OOM, buffer overflows, use-after-free, segmentation faults, double-free, null-pointer dereferences, memory leaks, data races, and deadlocks in ROS 2 runtime components and applications. Eight defects were confirmed and six were fixed.</t>
  </si>
  <si>
    <t>Sec. 3, p. 78; Sec. 5.2 and Table 1, pp. 82–83; Fig. 8, p. 83</t>
  </si>
  <si>
    <t>Primary code. Generic races and deadlocks are classified as GPE under the manual unless their root cause is specifically an executor, callback-group, queue, or scheduling configuration fault.</t>
  </si>
  <si>
    <t>The paper analyzes a ROS executor scheduling fault in which low- and high-priority mutex operations share wait_mutex_, delaying timer insertion and producing irregular callback timing. R2D2 consequently monitors callback execution latency, scheduling latency, callback ordering, and message throughput as indicators of runtime state. However, the evaluated 39 new defects are reported mainly as memory and generic concurrency bugs rather than as a separately validated scheduling-fault category.</t>
  </si>
  <si>
    <t>Sec. 3 and Fig. 2, pp. 78–79; Secs. 4.1–4.2 and Figs. 4–6, pp. 80–81</t>
  </si>
  <si>
    <t>Partial because the executor-scheduling fault is an externally existing ROS issue used to motivate the approach; the paper does not establish timing or scheduling fault detection as an independently evaluated output category.</t>
  </si>
  <si>
    <t>The paper identifies ROS component orchestration as a common source of bugs: developers must use configuration files, topic and service names, namespaces, launch files, and remappings to ensure that nodes communicate through the intended interfaces. The proposed generator extracts the computation graph with HAROS, identifies open input and output topics, generates matching publishers and subscribers, and checks that the runtime ROS interface remains stable.</t>
  </si>
  <si>
    <t>Abstract and Sec. 1, pp. 56–57; Secs. 2.2–2.3, p. 58; Secs. 3–3.2, pp. 59–60; Conclusion, p. 62</t>
  </si>
  <si>
    <t>Primary code. The method directly verifies node/topic integration and expected computation-graph structure. The evidence is primarily an implemented architectural property rather than a reported real-world misconfiguration.</t>
  </si>
  <si>
    <t>The generated tests support user-defined behavioral, historical, and temporal contracts relating received messages to expected outputs. In the Kobuki experiment, the authors specify a safety-controller property connecting bumper, cliff and wheel-drop sensor states to velocity commands; Hypothesis automatically generates a minimal message sequence that falsifies the property.</t>
  </si>
  <si>
    <t>Sec. 1, pp. 56–57; Sec. 3.2, p. 60; Sec. 3.3 and Figs. 9–11, pp. 60–61</t>
  </si>
  <si>
    <t>The counterexample validates property-checking capability. The property was intentionally simplified for illustration, so it does not establish the prevalence of a real Kobuki defect.</t>
  </si>
  <si>
    <t>The test framework attempts to generate message sequences that crash a configuration and includes a default liveness property requiring all tested nodes to remain alive and responsive. However, the preliminary evaluation does not report a concrete crash, exception, memory error, or source-level implementation defect.</t>
  </si>
  <si>
    <t>Sec. 1, p. 57; Sec. 3.1, p. 59; Sec. 3.2, p. 60</t>
  </si>
  <si>
    <t>Partial only. Node termination is an observable consequence, but no specific GPE root cause is demonstrated.</t>
  </si>
  <si>
    <t>ROS nodes connect implicitly through named topics and services. Incorrect launch configuration can therefore create disconnected components, unintended connections, missing publishers, incorrect remappings, or incompatible topic and service relationships. The proposed tool reconstructs the expected ROS graph from launch files and sandboxed node execution, and reports publishers and subscribers so that inconsistencies such as subscribed but unpublished topics can be detected.</t>
  </si>
  <si>
    <t>Abstract; Sec. 1.1, pp. 1–2; Sec. 3 and Fig. 1, p. 3; Sec. 3.5, p. 6; Sec. 4, Tables 1–3, pp. 6–7</t>
  </si>
  <si>
    <t>IMP-FA / IMP-OA</t>
  </si>
  <si>
    <t>Full because architectural consistency is the direct study target and an implemented prototype is evaluated. The evaluation mainly validates node-graph reconstruction accuracy rather than measuring precision and recall on a benchmark of independently reported configuration defects.</t>
  </si>
  <si>
    <t>The paper directly targets ROS orchestration and interface consistency. Its queries detect publisher/subscriber message-type mismatches, disconnected topics with similar names, missing or incorrect name remappings, problematic global ROS names, conditional endpoints, and whether nodes are connected transitively to the robot base. The authors report that use of global ROS names was an actual issue in AgRob V16 and that the tool helped correct it.</t>
  </si>
  <si>
    <t>Abstract and Sec. I, pp. 62–63; Sec. III-C, pp. 65–66; Sec. IV-B and Figs. 9–10, pp. 67–68</t>
  </si>
  <si>
    <t>Primary code. The defects arise from incorrect relationships and bindings between ROS entities rather than from robot-domain semantics or generic source-code logic.</t>
  </si>
  <si>
    <t>The query catalogue checks for unbounded message queues and queues of size one. The paper explains that unbounded queues may exhaust memory, while size-one queues may cause message loss. Several size-one queues were observed in AgRob V16, mainly in third-party packages, but the study did not execute experiments showing actual queue overflow, missed deadlines, or runtime failure.</t>
  </si>
  <si>
    <t>Sec. IV-B, p. 67</t>
  </si>
  <si>
    <t>IMP-RE; IMP-FA</t>
  </si>
  <si>
    <t>Partial because risky queue configurations are explicitly identified, but their runtime consequences are not directly evaluated.</t>
  </si>
  <si>
    <t>The method directly verifies behavioral and domain-semantic safety properties relating sensor messages, operating modes, command values and actuator behavior. In AgRob V16, model checking showed that the property requiring in-place rotation during autonomous path-following to be justified by laser obstacle detection did not hold: accumulated localization errors could cause the PathPlanner to issue a rotation command even though no laser obstacle message existed.</t>
  </si>
  <si>
    <t>Abstract; Sec. II and Figs. 5–8, pp. 7249–7250; Sec. IV, Figs. 14–15 and Table I, pp. 7253–7254</t>
  </si>
  <si>
    <t>Primary code. The property was developed with AgRob V16 domain experts and a concrete counterexample was produced by bounded model checking. Because the issue was not independently reproduced at runtime, the evidence establishes property coverage rather than real-world defect prevalence.</t>
  </si>
  <si>
    <t>HAROS performs static analysis of ROS source repositories and reports source-code quality metrics, quality-threshold violations and violations of C++ coding standards. Its plug-ins wrap tools such as Cppcheck and roslint and support approximately 120 coding rules. Evaluation on 180 ROS packages identified overly complex, tightly coupled and insufficiently documented code, together with large numbers of ROS C++ coding-standard violations.</t>
  </si>
  <si>
    <t>Abstract and Sec. I, pp. 1–2; Sec. IV-C and Table I, pp. 4–5; Sec. V and Table II, pp. 5–6; Sec. VI, p. 6</t>
  </si>
  <si>
    <t>Full because source-code quality and potential implementation defects are the direct analysis target and the implemented tool is applied to real public ROS repositories. The study primarily measures defect indicators rather than confirmed runtime bugs.</t>
  </si>
  <si>
    <t>The paper defines behavioral architectural composition bugs as failures caused by inconsistent component composition and manifested through inter-component communication. In the motivating Autoware.AI case, lattice_trajectory_gen requires an odom_pose input before it can periodically publish its output, but no component sends the required message, causing the component to wait indefinitely. ROSInfer recovered the required trigger and detected this defect, together with autoware-03 and autoware-10, whose important behaviors also depended on required inputs not connected to publishers.</t>
  </si>
  <si>
    <t>Sec. 1, pp. 1–2; Sec. 2.3 and Figs. 1–2, p. 3; Sec. 5.3, pp. 10–11</t>
  </si>
  <si>
    <t>Primary code. The behavior model exposes that an input is required, but the underlying fault is a missing publisher–subscriber connection or missing endpoint in the system composition, which falls under ICF.</t>
  </si>
  <si>
    <t>The paper identifies behavioral architectural composition bugs arising when ROS components make undocumented assumptions about initialization messages, internal states, input-output causality or publication frequency. ROSInfer reconstructs reactive, periodic and state-dependent component behavior from ROS API calls, state variables and control flow. It was evaluated on five real-world ROS systems comprising 534 components, using 155 manually constructed behavioral models as ground truth, and reports precision and recall for periodic, reactive and state-dependent behavior. The inferred models have already enabled the automatic detection of three real-world bugs.</t>
  </si>
  <si>
    <t>Sec. 1, p. 1; Sec. 2.1 and Fig. 1, p. 2; Sec. 2.2, p. 3; Sec. 2.4, p. 4</t>
  </si>
  <si>
    <t>Full because behavioral composition defects are the direct research object and the completed static-analysis component is empirically evaluated. The proposed injected-bug and developer-study evaluations are not counted as completed evidence.</t>
  </si>
  <si>
    <t>The study defines unit inconsistencies as operations that violate physical dimensional semantics, including assigning meters to a meters-per-second field, comparing linear and angular velocity, and adding force-derived and torque-derived quantities. Its static-analysis tool propagates units from ROS shared message libraries and detects inconsistent assignment, addition and comparison. Evaluation on 213 ROS systems found inconsistencies in 24 systems, with an 87% true-positive rate for high-confidence findings.</t>
  </si>
  <si>
    <t>Abstract and Sec. 1, pp. 1–2; Sec. 2.2, pp. 3–4; Sec. 3 and Algorithm 1, pp. 3–7; Sec. 5, Tables 2–4, pp. 7–9; Sec. 7, p. 10</t>
  </si>
  <si>
    <t>Full because physical-unit inconsistency is the direct defect target, the tool is implemented, and defects are detected in real ROS repositories. One reported Romeo robot defect was acknowledged and patched by its developers.</t>
  </si>
  <si>
    <t>Phriky-Units detects three forms of physical-unit semantic inconsistency in ROS C++ programs: addition or subtraction of incompatible units, comparison of incompatible units, and assignment of multiple incompatible units to the same variable. The tool associates ROS message fields with physical units, propagates the units through expressions and reports violations of dimensional-analysis rules. The paper reports 217 findings across 213 projects and an 87% true-positive rate for high-confidence findings.</t>
  </si>
  <si>
    <t>Abstract and Sec. 1, p. 1; Fig. 2 and Sec. 2, pp. 1–3; Sec. 4, Figs. 4–5, pp. 3–4</t>
  </si>
  <si>
    <t>Full defect coverage, but the empirical results are reused from the authors’ longer companion paper rather than generated by an independent evaluation in this publication.</t>
  </si>
  <si>
    <t>Phys detects violations of physical-unit semantics, including addition or subtraction of incompatible units, comparison of incompatible units, assignments between different units and inconsistent units supplied to the same function argument. It probabilistically infers units from ROS message definitions, dataflow, variable names, mathematical expressions, known symbols and conversion patterns. Evaluation on ROS C++ files shows that Phys infers units for 159.3% more variables than Phriky and detects 103.3% more inconsistencies, while maintaining an overall reported true-positive rate of approximately 85.3%.</t>
  </si>
  <si>
    <t>Abstract and Sec. 1, pp. 1–2; Sec. 2.1, pp. 2–3; Secs. 3–4 and Figs. 1–3, pp. 3–7; Sec. 5 and Tables 4–7, pp. 7–10</t>
  </si>
  <si>
    <t>Full because physical-unit inconsistency is the direct defect target, the method is implemented and real inconsistencies are identified in public ROS software. The expanded evaluation reports 156 true-positive inconsistencies in 45 files, compared with 75 found by Phriky.</t>
  </si>
  <si>
    <t>PhysFrame models physical frames and transformations as types and detects violations involving incorrect transform values, axis-orientation conventions, transform directions, and physical-frame semantics. The motivating ORB-SLAM2 case omits the final conversion from RDF back to ROS FLU orientation, producing a transform that can cause downstream robot misbehavior. The evaluation directly reports incorrect-transform findings and violations of common frame conventions.</t>
  </si>
  <si>
    <t>Sec. 2.3, pp. 47–48; Sec. 3, pp. 48–49; Sec. 4.2.3, pp. 52–53; Tables 3 and 5, pp. 53–54</t>
  </si>
  <si>
    <t>Primary code. Although the defect is implemented in C/C++ code, the root cause is incorrect physical and coordinate-frame semantics, so it is BSE rather than GPE.</t>
  </si>
  <si>
    <t>PhysFrame explicitly detects malformed relationships and configuration bindings among ROS frames, including multiple parents or cycles in the TF tree, incorrect TF-tree ordering, missing frame or child-frame identifiers, redundant transforms, and reversed transform naming. These faults are directly evaluated on 180 public ROS projects, and several findings were fixed or acknowledged by developers.</t>
  </si>
  <si>
    <t>Sec. 2.2, pp. 46–47; Sec. 4.2.3, pp. 52–53; Sec. 5.1–5.2, pp. 53–54; Tables 3–4, pp. 53–54</t>
  </si>
  <si>
    <t>Independent secondary defect family. These cases concern frame relationships, identifiers, TF-tree contracts, and launch/source configuration rather than the physical values of the transformation.</t>
  </si>
  <si>
    <t>SA4U detects unit-type errors involving incompatible physical units, scale differences within the same dimension, and mismatched reference frames. Examples include subtracting meters from centimeters, confusing microseconds with other timestamp representations, and processing coordinates expressed in an unsupported reference frame. Evaluation on ArduPilot and PX4 identified 14 previously unknown errors and detected five of six selected historical errors.</t>
  </si>
  <si>
    <t>Abstract and Sec. 1, pp. 1–2; Sec. 2 and Figs. 1–3, pp. 2–4; Secs. 3–4 and Fig. 4, pp. 4–7; Sec. 5 and Tables 3–6, pp. 7–9; Sec. 6, pp. 9–10</t>
  </si>
  <si>
    <t>Full defect coverage in the broader robotic-software domain, but not direct evidence about ROS. Fourteen newly reported bugs constitute EP-OBS; the six previously known bugs provide additional historical validation.</t>
  </si>
  <si>
    <t>The study directly models and verifies ROS 2 multi-threaded executor scheduling, callback-group mutual exclusion, ready-set resetting, callback blocking, starvation risk, and delays introduced by underlying OS reservations. Experiments show that using two mutually exclusive executor threads can produce higher callback latency than one thread; lower-priority callbacks may be repeatedly blocked by newly released higher-priority callbacks, potentially leading to starvation. UPPAAL timed-automata templates calculate worst-case callback latency and reproduce the observed ROS 2 execution traces.</t>
  </si>
  <si>
    <t>Sec. 1, PDF pp. 4–5; Secs. 3.3–3.5, PDF pp. 11–15; Sec. 4.2, PDF pp. 16–18, Figs. 8–9 and Tables 1–2; Secs. 4.3–4.4, PDF pp. 18–20, Fig. 10</t>
  </si>
  <si>
    <t>The strongest evidence is the callback-latency and execution-order behavior observed in real ROS 2 test-system traces. The operating-system reservation extension is evaluated using synthetic traces and manual calculations, so that part has weaker independent grounding. Do not assign a vulnerability code merely because the paper uses the word “vulnerabilities”; the root cause is ROS executor scheduling and runtime execution behavior.</t>
  </si>
  <si>
    <t>The methodology explicitly targets ROS 2 executor-related timing and execution faults, particularly callback blocking, excessive callback latency, insufficient input-buffer capacity, buffer overflow, and missed callback instances. It derives callback release times, execution times, periods, and buffer sizes from ROS2_tracing, transforms them through Eclipse metamodels, and generates UPPAAL models intended to verify these properties. However, the proof-of-concept evaluation primarily validates trace extraction, model transformations, and generation of executable UPPAAL code; it does not present a directly evaluated fault-triggering case or a demonstrated latency/buffer property violation in the studied example.</t>
  </si>
  <si>
    <t>Abstract, PDF p. 1; Sec. 1.1, PDF p. 2; Secs. 2.3–2.4, PDF p. 3; Secs. 3.1–3.2 and Figs. 3–4, PDF pp. 4–6; Sec. 4.2, PDF p. 7; Sec. 6, PDF pp. 7–8</t>
  </si>
  <si>
    <t>Partial, rather than Full, because the paper directly proposes automation for SEF verification but does not independently demonstrate an actual callback-blocking, buffer-overflow, or missed-instance defect in its proof-of-concept evaluation. The concrete defect evidence is largely inherited from the authors’ earlier executor studies and UPPAAL templates.</t>
  </si>
  <si>
    <t>The paper directly studies faults caused by ROS queue sizes, publisher rates, subscriber spin rates, callback execution times, communication delays, and callback timeouts. UPPAAL verification shows that unsuitable parameter combinations cause publisher or subscriber queue overflow. In the Kobuki case study, overflow can replace safety-critical sensor messages before they are processed, while priority and timeout configurations can prevent RandomWalker velocity commands from ever reaching the robot motor.</t>
  </si>
  <si>
    <t>Sec. IV-A–C, pp. 46–47; Sec. V-A–C, pp. 47–50; Table I, p. 48; Figs. 5–6, pp. 48–50</t>
  </si>
  <si>
    <t>Primary and only defect code. The violations are demonstrated through author-defined safety and liveness properties over timed-automata models. They are not validated through physical robot execution.</t>
  </si>
  <si>
    <t>The paper directly verifies faults arising from ROS 2 executor scheduling, callback execution latency, callback blocking, and insufficient input or output buffer sizes. A buffer overflow causes callback instances or messages to be missed. In SC2, the model checker detects a buffer overflow under ExV2, and the result corresponds to the actual ROS 2 execution. The approach also computes worst-case callback latency and generates counterexample traces for potentially problematic scheduling paths. SC3 separately demonstrates output-buffer overflow under different buffer sizes, delays, and jitter values.</t>
  </si>
  <si>
    <t>Sec. 2.1, pp. 314–316; Sec. 3.1–3.2, pp. 317–320; Sec. 4, pp. 320–324; Sec. 5.1.1, pp. 324–325; Sec. 6, pp. 325–330; Tables 2 and 4</t>
  </si>
  <si>
    <t>The evaluated scenarios are author-constructed ROS 2 benchmark configurations. SC1 and SC2 are additionally checked against actual ROS 2 execution traces, but the fault-triggering configurations remain synthetic experimental cases.</t>
  </si>
  <si>
    <t>The paper directly analyzes ROS scheduling and execution faults involving callback/task priorities, processing windows, periodic and subscription-triggered jobs, WCET/BCET variation, task queues and probabilistic system load. It verifies the maximum end-to-end reaction time from sensor release to actuator completion. The analysis shows that variable execution times may counterintuitively increase the worst-case reaction time, and that increasing the number or load of camera-processing chains can cause the required reaction-time bound of 850 time units to be violated.</t>
  </si>
  <si>
    <t>Sec. 2.1, pp. 297–298; Sec. 3.3, pp. 303–304; Sec. 4, pp. 304–309; Sec. 5, pp. 309–310; Sec. 6, pp. 310–312; Sec. 7, pp. 312–316; Tables 3 and 5–8</t>
  </si>
  <si>
    <t>Primary and only defect code. Deadline violations and maximum-reaction-time properties are defined and evaluated over author-created formal models. Validation against the previously published simulation benchmark supports semantic consistency, but does not establish that the modeled deadline violations occurred in a deployed ROS 2 system.</t>
  </si>
  <si>
    <t>DiNeROS explicitly models the bounded outgoing publisher queue, node-level dispatcher queue, and subscriber callback queue. Overflow transitions are inserted into the flattened Petri net and checked through reachability analysis. In the case study, increasing the number of objects without consistently adjusting queue capacities causes controller-side overflow; another configuration causes the user-interface callback queue to overflow when communication is delayed.</t>
  </si>
  <si>
    <t>Sec. II, p. 792; Sec. V-C and V-E, pp. 795–797; Sec. VI-A.1–A.2, p. 798; Figs. 5 and 9</t>
  </si>
  <si>
    <t>Primary code. The faults are constructed by changing object counts, queue capacities, and communication conditions in the case-study model. Queue overflow and callback-message loss belong to SEF rather than ICF.</t>
  </si>
  <si>
    <t>The evaluation introduces an input condition Danger ∧ ¬Danger, which permanently disables the associated transition and makes the unsafe state unreachable after initialization. A second condition makes PickSuccess constantly false, preventing the pick service from returning and thereby blocking all robots. Both faults are detected through reachability and LTL analysis of the Petri-net model.</t>
  </si>
  <si>
    <t>Sec. V-C.3, pp. 796–797; Sec. VI-A.3, pp. 798–799; Fig. 7; Fig. 9</t>
  </si>
  <si>
    <t>Independent secondary fault family. The root cause is an invalid behavioral condition or workflow predicate, not a ROS interface or generic source-code error.</t>
  </si>
  <si>
    <t>The paper directly models and verifies structural and communication relationships among ROS nodes, topics, services, publishers, subscribers, clients, and servers. Its Net Analyzer searches Petri-net state spaces for publisher, dispatcher, and subscriber queue overflow; unused topic channels; services that are never called or never return; and nodes whose transitions are all dead. In the evaluated scenario, developers add two new object types and modify publisher-side capacities without correspondingly increasing the subscriber-side capacity. DiNeROS reaches a state in which the topic overflow transition is enabled, thereby detecting the inconsistent communication configuration.</t>
  </si>
  <si>
    <t>Secs. 5.3–5.5, journal pp. 539–545 / PDF pp. 9–15; Sec. 7.1 and Algorithms 1–3, journal pp. 548–549 / PDF pp. 18–19; Sec. 9.2.1, journal p. 552 / PDF p. 22</t>
  </si>
  <si>
    <t>ICF, rather than SEF, because the demonstrated overflow originates from inconsistent topic-channel capacity configuration across communicating components. It is not caused by a long-running callback, executor scheduling, or runtime queue starvation. The defect scenario is deliberately constructed by the authors.</t>
  </si>
  <si>
    <t>The study directly evaluates invalid behavioral and logical conditions in the Petri-net workflow. An unsatisfiable condition such as Danger ∧ ¬Danger permanently disables the associated transition and prevents the safety model from returning to the unsafe state. A second example makes ICPickSuccess constantly false, preventing the pick service from returning and blocking the robots. In the case-study scenario, changing the sensor signal clause to an unsatisfiable expression causes the Sensor and Pick services never to return, the Place service never to be called, the UI topic to remain unused, and ultimately blocks the complete application.</t>
  </si>
  <si>
    <t>Sec. 7.2, journal p. 549 / PDF p. 19; Sec. 9.2.2, journal p. 552 / PDF p. 22</t>
  </si>
  <si>
    <t>The root cause is an unsatisfiable domain or workflow condition, not incorrect ROS endpoint wiring. Therefore, this distinct fault family is coded as BSE. The downstream service and topic failures are consequences of the invalid behavioral condition and should not be counted again as separate ICF instances for this scenario.</t>
  </si>
  <si>
    <t>The study directly verifies ROS computational-graph consistency and compatibility properties, including idle publishers and subscribers, publisher–subscriber type consistency, multiple publishers to the same topic, compatibility of newly added components, and whether the graph can realize a required behavior. In the evaluated bad design, the authors remove the cmd_vel_mux node and connect velocity outputs from both kobuki_keyop and kobuki_safety_controller directly to the mobile-base velocity topic. The theorem prover cannot prove the original single-command behavior property, exposing an architectural interaction flaw that may result in unpredictable robot behavior.</t>
  </si>
  <si>
    <t>Sec. I, PDF p. 1; Sec. IV-A, PDF pp. 3–4, Figs. 2–5; Sec. IV-B, PDF pp. 4–5, Figs. 6–7</t>
  </si>
  <si>
    <t>ICF is preferred over BSE for this fault instance because its earliest root cause is the removal of an arbitration component and the resulting incorrect relationship among publishers, topic, and subscriber. The unpredictable motion is the consequence, not the root-cause category.</t>
  </si>
  <si>
    <t>The dynamic verification experiment encodes three behavioral safety rules that classify which combinations of bumper, wheel-drop, and cliff sensor states are acceptable. The authors inject a stuck-on fault into the center bumper signal. After the simulated robot collides, it cannot recover and moves incorrectly; the sensor monitor marks the signal as faulty, the linear-logic verifier determines that the weakest safety rule is no longer satisfied, and the system disables the robot by unloading the velocity multiplexer. This is a distinct behavioral-property and sensor-semantics fault family.</t>
  </si>
  <si>
    <t>Sec. V-A, PDF pp. 4–5, Figs. 8–9; Sec. V-B, PDF pp. 5–6, definitions of SR1–SR3; Sec. V-C, PDF p. 6</t>
  </si>
  <si>
    <t>The injected sensor fault is coded BSE because verification is based on explicit domain and behavioral safety constraints over sensor meanings. The monitor and shutdown response are detection and mitigation mechanisms. The authors explicitly describe this experiment as a proof of concept rather than a certified functional-safety system.</t>
  </si>
  <si>
    <t>In the SROS2 experiment, unauthenticated attacker nodes are blocked, whereas attacker nodes that have become authorized can successfully execute all seven topic, service, and action attacks. The authors attribute this result to the absence of a reliable mechanism for remotely transmitting SROS2 security profiles: intercepted profiles can be reused to achieve identity authentication and gain communication privileges.</t>
  </si>
  <si>
    <t>Sec. 6.2.2, pp. 17–18; Table 2, p. 18</t>
  </si>
  <si>
    <t>IMP-DS; IMP-DT</t>
  </si>
  <si>
    <t>Primary code. The experiment directly analyzes insufficient protection of SROS2 security profiles and the resulting authenticated privilege abuse.</t>
  </si>
  <si>
    <t>ROS2Tester obtains the target topic name and type, creates a malicious publisher in the same communication domain, constructs a forged message, and publishes it to the target topic. All subscribers receive the false message. The attack succeeds in default ROS 2 and also succeeds against SROS2 when the attacker has an authorized identity.</t>
  </si>
  <si>
    <t>Sec. 3.1(3), p. 4; Sec. 4.1.1–4.1.2, pp. 7–8; Sec. 5.3.1, pp. 13–14; Table 2, p. 18</t>
  </si>
  <si>
    <t>Independent secondary code. The experiment demonstrates that messages on a shared topic are accepted from a malicious publisher without reliable binding to the intended legitimate source.</t>
  </si>
  <si>
    <t>ROSCallBaX detects incorrect compositions of callback execution elements, including callback deadlocks, using a single-threaded executor for callbacks intended to execute concurrently, assigning callback groups to incompatible or multiple executors, spinning an executor from multiple threads, spinning from inside callbacks, missing spin operations, multiple blocking spins, unsupported nested spins and callbacks disabled by prematurely destroyed local objects. These faults can prevent callbacks from executing, halt processing, introduce races or deadlocks, and increase response time. The tool detected 92 cases across forum-derived programs and public ROS projects with an 88.04% true-positive rate.</t>
  </si>
  <si>
    <t>Sec. 2.2–2.4, pp. 5–8; Sec. 3.1–3.3, pp. 8–15; Tables 5–7, pp. 13–17; Sec. 4, pp. 15–20</t>
  </si>
  <si>
    <t>Primary and only defect code. The forum dataset contains reconstructed examples, while the project dataset provides observed inconsistencies in real public ROS code.</t>
  </si>
  <si>
    <t>The paper identifies that native ROS communications transmit topic and service data in cleartext over TCP/IP or UDP/IP and therefore permit eavesdropping and interception. The proposed architecture routes remote communication through an MQTT Mosquitto broker configured with TLS and X.509 certificates, providing payload encryption. The authors implement the secured and unsecured configurations on three surveillance robots and measure the resulting connection delay, message throughput, and message rate.</t>
  </si>
  <si>
    <t>Abstract and Sec. I, PDF p. 1; Sec. III, PDF p. 2; Sec. IV-A–B, PDF pp. 3–4, Fig. 1; Sec. V, PDF pp. 4–5, Tables I–III and Figs. 3–4; Sec. VI, PDF p. 6</t>
  </si>
  <si>
    <t>Full because encryption is a direct implemented and evaluated component of the method. The performance experiment does not itself prove resistance to eavesdropping, but it directly evaluates the deployed TLS-protected communication architecture. Internal ROS communications remain unencrypted, which the authors acknowledge as a limitation.</t>
  </si>
  <si>
    <t>The study explicitly identifies the absence of built-in ROS authentication as a weakness that allows remote, untrusted entities to access robot resources. In the proposed architecture, remote clients must authenticate to the MQTT broker using valid X.509 digital certificates before a secure channel with the robots can be established. The implemented experiments compare communication without authentication and certificates against communication with certificate-based client–server authentication.</t>
  </si>
  <si>
    <t>Sec. I, PDF p. 1; Sec. II, PDF pp. 1–2; Sec. IV-A–B, PDF p. 3, Fig. 1; Sec. V, PDF p. 4; Sec. VI, PDF p. 6</t>
  </si>
  <si>
    <t>Full because authentication is not merely recommended: certificate-based authentication is implemented in the evaluated architecture. The paper does not test certificate forgery or authentication bypass, so the evidence demonstrates deployment of the control rather than adversarial robustness.</t>
  </si>
  <si>
    <t>The paper states that default ROS access permits clients to publish and subscribe broadly and explains that MQTT Access Control Lists can restrict which clients may access particular topics and which actions they may perform. The architecture also prevents unauthenticated remote clients from directly reaching ROS topics. However, the experiments focus on TLS authentication, encryption, and performance and do not report a concrete ACL policy, an unauthorized publish/subscribe attempt, or topic-level authorization results.</t>
  </si>
  <si>
    <t>Sec. II, PDF p. 1; Sec. III, PDF p. 2; Sec. IV-A–B, PDF p. 3; Sec. VI, PDF p. 6</t>
  </si>
  <si>
    <t>Partial because access control is an explicit architectural capability and security objective, but it is not separately instantiated and evaluated with an unauthorized topic or service operation. Authentication alone should not be treated as evidence of fine-grained authorization.</t>
  </si>
  <si>
    <t>The AADL model represents ROS nodes as processes, node functionality as threads, and publisher–subscriber interaction through typed ports and explicit connections. Connected thread and process ports are required to share the same data type, while topic names, message types, publication rates and node relationships are propagated into the generated ROS implementation. The authors state that use of the approach in an autonomous-wheelchair architecture solved existing design errors and inconsistencies, but the individual defects and validation procedure are not reported.</t>
  </si>
  <si>
    <t>Sec. II, p. 581; Sec. IV, pp. 581–582; Sec. V, pp. 582–585; Sec. VI, p. 585</t>
  </si>
  <si>
    <t>Primary code. The mechanism directly maintains consistency among ports, types, topics, connections and generated ROS components, but evidence is primarily a capability and use-case claim.</t>
  </si>
  <si>
    <t>The generator produces compilation-ready ROS packages containing CMakeLists.txt, package.xml, launch files, executable declarations, custom messages, services and required library dependencies. This automation can prevent missing or inconsistent build and packaging configuration, although the paper does not present a concrete build or dependency fault detected in an experiment.</t>
  </si>
  <si>
    <t>Abstract, p. 580; Sec. V-B, pp. 583–585; Sec. VI, p. 585</t>
  </si>
  <si>
    <t>Secondary code. Retain only as Partial because build-fault coverage is inferred from explicit artifact generation rather than demonstrated defect cases.</t>
  </si>
  <si>
    <t>The study identifies and experimentally validates two failures in SROS2 credential and policy handling. In V1, SROS2 does not actively revoke old permission files; a malicious robot can retain an expired, correctly signed file and later reload it to recover publish or subscribe privileges that the system owner has revoked. In V2, DDS access-control policies are refreshed only when the corresponding participant or node service is reinitialized, allowing a malicious robot to refuse reinitialization and continue operating under outdated permissions. The attacks permit unauthorized topic access, forged GPS publication, door-control manipulation, workload termination, and physical robot crashes.</t>
  </si>
  <si>
    <t>Secs. 4.1–4.3, PDF pp. 4–6; Secs. 5.1–5.2, PDF pp. 7–8, Fig. 5; Secs. 6.2–6.3, PDF pp. 8–10, Figs. 6–7</t>
  </si>
  <si>
    <t>ROS2-ICAPP is preferred because the earliest root cause is the inadequate lifecycle protection and synchronization of permission policies between the owner, SROS2, and DDS layers. Unauthorized publishing and subscribing are consequences of this policy-protection failure. Both vulnerabilities are found through model-checking counterexamples and validated in simulation and on physical robots.</t>
  </si>
  <si>
    <t>V3 shows that the default RTPS protection setting uses signing without encryption, allowing a malicious robot to recover node, topic, publisher, subscriber, and communication-topology information despite SROS2 being enabled. The authors exploit this configuration with a ROS 2 fingerprinting tool to infer robot positions, tasks, and control structures in simulated and physical workloads. V4 further shows that SROS2 permission files remain in plaintext and that official project templates often contain excessive information about other nodes and their topic permissions, enabling local policy and configuration disclosure.</t>
  </si>
  <si>
    <t>Sec. 2.4, PDF p. 3; Secs. 5.3–5.4, PDF p. 8; Secs. 6.2–6.3, PDF pp. 8–10, Fig. 8</t>
  </si>
  <si>
    <t>Full because information leakage is directly analyzed and exploited. V3 overlaps with previously reported DDS-related CVEs, but the paper independently demonstrates the effect within complete SROS2 robotic workloads. V4 is not merely a general least-privilege recommendation: the authors inspect official permission-file examples and demonstrate that their plaintext, over-inclusive contents disclose security information.</t>
  </si>
  <si>
    <t>ROSDiscover detects inconsistent composition and configuration of ROS components, including mismatched topic names, incompatible publisher/subscriber message types, incorrect topic remappings, dangling communication endpoints, missing parameters and parameters configured with incompatible names, paths or types. The Autoware example in Figure 1 shows that renaming a publisher topic from line_class to line without updating subscribers disconnects the nodes and silently prevents message delivery. The evaluation corpus contains real configuration bugs from AutoRally, Autoware, MAVROS, Husky and TurtleBot.</t>
  </si>
  <si>
    <t>Sec. I–II, pp. 112–114; Fig. 1, p. 114; Sec. III, pp. 115–117; Sec. IV-C, pp. 119–120; Tables I and VI</t>
  </si>
  <si>
    <t>Primary and only defect code. The faults are reproduced from real historical commits and checked against corrected versions. They concern ROS component interfaces, connectors, parameters and launch-time composition.</t>
  </si>
  <si>
    <t>ROS Defect Codebook</t>
  </si>
  <si>
    <t>The fixed hierarchy is Major Category → Subcategory → Defect Code. Reliability faults are coded by the primary root-cause locus, not by symptoms or impacts.</t>
  </si>
  <si>
    <t>Subcategories</t>
  </si>
  <si>
    <t>Code</t>
  </si>
  <si>
    <t>Applies To</t>
  </si>
  <si>
    <t>Name</t>
  </si>
  <si>
    <t>Operational Meaning</t>
  </si>
  <si>
    <t>Key Boundary</t>
  </si>
  <si>
    <t>Confidentiality</t>
  </si>
  <si>
    <t>Unauthorized observation of data, metadata, or communication structure.</t>
  </si>
  <si>
    <t>Use only for security weaknesses; benign data-format errors are not C.</t>
  </si>
  <si>
    <t>Integrity</t>
  </si>
  <si>
    <t>Unauthorized forgery, modification, injection, replay, or reconfiguration.</t>
  </si>
  <si>
    <t>Benign configuration errors must be coded as REL.</t>
  </si>
  <si>
    <t>Availability</t>
  </si>
  <si>
    <t>Service disruption, overload, or resource exhaustion caused by an attack or missing security control.</t>
  </si>
  <si>
    <t>Benign scheduling or execution errors should be coded as SEF.</t>
  </si>
  <si>
    <t>Code-Level</t>
  </si>
  <si>
    <t>The root cause lies in build/dependency artifacts, implementation code, or ROS runtime execution mechanisms.</t>
  </si>
  <si>
    <t>Includes BDF, SEF, and GPE.</t>
  </si>
  <si>
    <t>Semantic-Logic</t>
  </si>
  <si>
    <t>The root cause lies in relationships among ROS entities or in robot, physical, or behavioral semantics.</t>
  </si>
  <si>
    <t>Includes ICF and BSE.</t>
  </si>
  <si>
    <t>Defect Codes</t>
  </si>
  <si>
    <t>English Name</t>
  </si>
  <si>
    <t>Concise Label</t>
  </si>
  <si>
    <t>Operational Definition</t>
  </si>
  <si>
    <t>Include When</t>
  </si>
  <si>
    <t>Exclude When</t>
  </si>
  <si>
    <t>Typical Evidence</t>
  </si>
  <si>
    <t>Lack of Encryption</t>
  </si>
  <si>
    <t>No Encryption</t>
  </si>
  <si>
    <t>ROS 1 topic, service, TCPROS, UDPROS, or XMLRPC traffic is transmitted in plaintext.</t>
  </si>
  <si>
    <t>The study directly analyzes plaintext communication, eavesdropping, or absent channel protection.</t>
  </si>
  <si>
    <t>Do not use for benign data-format, message-semantic, or parsing errors.</t>
  </si>
  <si>
    <t>Packet captures, plaintext topics, or intercepted sensor/control data.</t>
  </si>
  <si>
    <t>Public Network Exposure</t>
  </si>
  <si>
    <t>Public Exposure</t>
  </si>
  <si>
    <t>The ROS Master or node endpoints can be discovered or reached from outside the intended local network because access restrictions are absent or inadequate.</t>
  </si>
  <si>
    <t>The study provides evidence of exposed ports, Internet scanning, remote reachability, or open interfaces.</t>
  </si>
  <si>
    <t>Do not code when communication is confined to the intended local network and external exposure is not demonstrated.</t>
  </si>
  <si>
    <t>Open ROS ports, an exposed Master, or Internet-scan results.</t>
  </si>
  <si>
    <t>Lack of Node Authentication</t>
  </si>
  <si>
    <t>No Node Authentication</t>
  </si>
  <si>
    <t>Nodes are not authenticated when registering, publishing, subscribing, or providing services.</t>
  </si>
  <si>
    <t>The study demonstrates malicious node registration, service hijacking, node impersonation, or authentication bypass.</t>
  </si>
  <si>
    <t>Benign node-name, topic-name, or namespace mistakes belong to ICF.</t>
  </si>
  <si>
    <t>Service re-registration, node impersonation, or absence of certificate/challenge validation.</t>
  </si>
  <si>
    <t>Unrestricted Topic and Service Access</t>
  </si>
  <si>
    <t>Unrestricted Access</t>
  </si>
  <si>
    <t>Network-visible nodes can publish, subscribe, or invoke sensitive topics and services without authorization.</t>
  </si>
  <si>
    <t>The study demonstrates unauthorized publishing, subscribing, service invocation, message injection, or replay.</t>
  </si>
  <si>
    <t>Accidental topic wiring or type mismatches belong to ICF.</t>
  </si>
  <si>
    <t>Forged /cmd_vel messages, unauthorized service calls, or topic injection.</t>
  </si>
  <si>
    <t>Insecure Parameter Server</t>
  </si>
  <si>
    <t>Insecure Parameters</t>
  </si>
  <si>
    <t>The ROS 1 Parameter Server lacks adequate authentication or authorization, enabling unauthorized parameter reads or writes.</t>
  </si>
  <si>
    <t>An attacker directly reads, overwrites, or manipulates runtime parameters.</t>
  </si>
  <si>
    <t>Benign incorrect parameter values or parameter paths should be considered BSE or ICF, respectively.</t>
  </si>
  <si>
    <t>Unauthorized modification of thresholds, control gains, or configuration parameters.</t>
  </si>
  <si>
    <t>Master as a Single Point of Failure</t>
  </si>
  <si>
    <t>Master Single Point</t>
  </si>
  <si>
    <t>Failure or attack of the centralized ROS Master can disrupt name resolution, discovery, or system coordination.</t>
  </si>
  <si>
    <t>The study explicitly exploits or evaluates the centralized weakness of the ROS Master.</t>
  </si>
  <si>
    <t>Ordinary node startup failures, build failures, or a crash of one non-Master node do not belong here.</t>
  </si>
  <si>
    <t>Master crashes, SlowROS, or graph-resolution failure.</t>
  </si>
  <si>
    <t>Lack of Flow Control and QoS</t>
  </si>
  <si>
    <t>No Flow/QoS Control</t>
  </si>
  <si>
    <t>ROS 1 lacks adequate rate limiting, priority, queue control, or QoS guarantees, and this deficiency is exploited by malicious traffic.</t>
  </si>
  <si>
    <t>An attacker causes overload or denial of service through high-rate publishing, connection occupation, or selective message suppression.</t>
  </si>
  <si>
    <t>Benign callback blocking, queue configuration, or executor problems belong to SEF.</t>
  </si>
  <si>
    <t>Topic flooding, subscriber overload, or message loss.</t>
  </si>
  <si>
    <t>Incomplete or Leaky Encryption</t>
  </si>
  <si>
    <t>Leaky Encryption</t>
  </si>
  <si>
    <t>DDS-Security or SROS2 does not fully encrypt traffic, or handshake, policy, or metadata remains exposed.</t>
  </si>
  <si>
    <t>The study directly analyzes partial encryption, signing without encryption, or metadata leakage.</t>
  </si>
  <si>
    <t>Ordinary message-format or semantic errors do not belong here.</t>
  </si>
  <si>
    <t>Observed handshake metadata, permission information, or unencrypted payloads.</t>
  </si>
  <si>
    <t>Lack of Message-Level Access Control</t>
  </si>
  <si>
    <t>No Message-Level Control</t>
  </si>
  <si>
    <t>Node- or topic-level permissions lack the granularity needed to protect individual messages or fields.</t>
  </si>
  <si>
    <t>An over-privileged node reads protected messages and relays them to an unsecured channel.</t>
  </si>
  <si>
    <t>Benign publisher/subscriber mismatches belong to ICF.</t>
  </si>
  <si>
    <t>Confused-deputy behavior or protected data relayed to an insecure topic.</t>
  </si>
  <si>
    <t>Cryptographic Supply Chain Exposure</t>
  </si>
  <si>
    <t>Crypto Supply Chain</t>
  </si>
  <si>
    <t>External cryptographic libraries or components on which ROS 2 security depends can be replaced, tampered with, or compromised through the supply chain, undermining security guarantees.</t>
  </si>
  <si>
    <t>The study explicitly analyzes compromise of a cryptographic dependency and its effect on session keys or encryption.</t>
  </si>
  <si>
    <t>Ordinary dependency declarations, builds, or installation errors belong to BDF.</t>
  </si>
  <si>
    <t>OpenSSL or cryptographic-library replacement and session-key leakage.</t>
  </si>
  <si>
    <t>Inadequate Credential and Policy Protection</t>
  </si>
  <si>
    <t>Weak Credential Protection</t>
  </si>
  <si>
    <t>Certificates, keys, governance files, or permission files lack adequate local integrity protection.</t>
  </si>
  <si>
    <t>An attacker modifies, replaces, or downgrades credentials or policies to impersonate an identity or escalate privileges.</t>
  </si>
  <si>
    <t>Non-malicious policy syntax or configuration errors should be coded as REL only when the study analyzes them as reliability faults.</t>
  </si>
  <si>
    <t>Permission-file modification, certificate replacement, or privilege escalation.</t>
  </si>
  <si>
    <t>Missing Publisher Identity Binding</t>
  </si>
  <si>
    <t>No Publisher Binding</t>
  </si>
  <si>
    <t>Messages are not reliably bound to a specific legitimate publisher, allowing an authorized node to impersonate another publisher on a shared topic.</t>
  </si>
  <si>
    <t>The study demonstrates source forgery or publisher impersonation on a shared topic.</t>
  </si>
  <si>
    <t>Benign frame-name, topic-name, or namespace mistakes belong to ICF.</t>
  </si>
  <si>
    <t>A forged publisher on /tf or another shared topic.</t>
  </si>
  <si>
    <t>Unregulated Traffic from Authenticated Nodes</t>
  </si>
  <si>
    <t>Unregulated Auth Traffic</t>
  </si>
  <si>
    <t>Authenticated nodes can generate harmful traffic because rate limiting, throttling, or backpressure is absent or inadequate.</t>
  </si>
  <si>
    <t>An authenticated publisher or service client causes denial of service through flooding.</t>
  </si>
  <si>
    <t>Benign application-level callback overload or execution delay belongs to SEF.</t>
  </si>
  <si>
    <t>Authenticated topic flooding or service-call flooding.</t>
  </si>
  <si>
    <t>Lack of Resource Isolation</t>
  </si>
  <si>
    <t>No Resource Isolation</t>
  </si>
  <si>
    <t>CPU, memory, process, or container resources are insufficiently isolated between nodes, allowing one malicious or faulty node to degrade the entire system.</t>
  </si>
  <si>
    <t>The study treats missing resource isolation as the primary security weakness and evaluates cross-node effects.</t>
  </si>
  <si>
    <t>A generic memory leak belongs to GPE; ordinary scheduling contention belongs to SEF.</t>
  </si>
  <si>
    <t>CPU or memory monopolization and cascading service disruption.</t>
  </si>
  <si>
    <t>ROS 1 / ROS 2</t>
  </si>
  <si>
    <t>Build and Dependency Faults</t>
  </si>
  <si>
    <t>Build/Dependency Faults</t>
  </si>
  <si>
    <t>The root cause lies in package manifests, dependency declarations, build/install/export scripts, workspaces, or deployment packaging.</t>
  </si>
  <si>
    <t>Missing or spurious dependencies, incorrect rosdep keys, malformed package.xml files, or incorrect CMake/ament/catkin/colcon rules.</t>
  </si>
  <si>
    <t>Source-code syntax or logic errors belong to GPE; launch wiring or path binding belongs to ICF.</t>
  </si>
  <si>
    <t>Build logs, manifests, dependency differences, or installation/export failures.</t>
  </si>
  <si>
    <t>Scheduling and Execution Faults</t>
  </si>
  <si>
    <t>Scheduling/Execution</t>
  </si>
  <si>
    <t>The root cause lies in ROS callbacks, queues, executors, spin calls, callback groups, priorities, deadlines, or real-time scheduling.</t>
  </si>
  <si>
    <t>Callback starvation, queue overflow, missed deadlines, executor contention, or incorrect spin/callback-group configuration.</t>
  </si>
  <si>
    <t>Name, type, or QoS compatibility problems belong to ICF; generic locking or data-race defects belong to GPE.</t>
  </si>
  <si>
    <t>Timing traces, executor configuration, queue behavior, callback latency, or deadlock evidence.</t>
  </si>
  <si>
    <t>General Programming Errors</t>
  </si>
  <si>
    <t>Programming Errors</t>
  </si>
  <si>
    <t>The root cause is a language-level or algorithmic implementation error not specific to ROS interfaces, executors, or domain semantics.</t>
  </si>
  <si>
    <t>Out-of-bounds access, use-after-free, null dereference, unhandled exceptions, missing input validation, generic races/deadlocks, or algorithmic logic errors.</t>
  </si>
  <si>
    <t>ROS executor or callback-group errors belong to SEF; interface wiring belongs to ICF; physical or domain-semantic errors belong to BSE.</t>
  </si>
  <si>
    <t>Crash stacks, sanitizer reports, fuzzing triggers, or source-code locations.</t>
  </si>
  <si>
    <t>Interaction and Communication Faults</t>
  </si>
  <si>
    <t>Interaction/Communication</t>
  </si>
  <si>
    <t>The root cause lies in relationships, interface contracts, or configuration bindings among ROS entities, including names, types, namespaces, remaps, endpoints, QoS, and launch wiring.</t>
  </si>
  <si>
    <t>Incorrect topic/service/action names or types, missing endpoints, incorrect namespaces/remaps, QoS incompatibility, or launch-path/wiring errors.</t>
  </si>
  <si>
    <t>Correctly delivered data with incorrect physical meaning belongs to BSE; callback/queue-induced loss belongs to SEF; malicious unauthorized communication belongs to VUL.</t>
  </si>
  <si>
    <t>Dangling publishers/subscribers, interface mismatches, or configuration/wiring evidence.</t>
  </si>
  <si>
    <t>Behavioral and Semantic Errors</t>
  </si>
  <si>
    <t>Behavioral/Semantic</t>
  </si>
  <si>
    <t>The root cause lies in robot models, transform values or conventions, physical units, parameter meaning, task logic, domain constraints, or explicit behavioral properties.</t>
  </si>
  <si>
    <t>Unit confusion, incorrect TF values or conventions, invalid URDF/SDF mass, inertia, or joint limits, invalid control parameters, or violated properties/invariants.</t>
  </si>
  <si>
    <t>Observed incorrect behavior alone is insufficient; incorrect interface relationships belong to ICF; generic code logic errors belong to GPE.</t>
  </si>
  <si>
    <t>Comparison of expected semantics or constraints with actual values, models, or execution traces.</t>
  </si>
  <si>
    <t>Impact Categories</t>
  </si>
  <si>
    <t>Data Snooping</t>
  </si>
  <si>
    <t>Unauthorized Data Access</t>
  </si>
  <si>
    <t>Unauthorized observation of ROS data, metadata, maps, sensor streams, or control messages.</t>
  </si>
  <si>
    <t>Data Tampering</t>
  </si>
  <si>
    <t>Unauthorized Modification</t>
  </si>
  <si>
    <t>Data, messages, services, or configurations are modified, forged, injected, replayed, or reconfigured without authorization.</t>
  </si>
  <si>
    <t>Resource Exhaustion</t>
  </si>
  <si>
    <t>Denial of Service</t>
  </si>
  <si>
    <t>Flooding, CPU or memory exhaustion, Master/node overload, or denial of service.</t>
  </si>
  <si>
    <t>Functional Anomaly</t>
  </si>
  <si>
    <t>Incorrect Behavior</t>
  </si>
  <si>
    <t>The system continues to run but behaves incorrectly, inconsistently, unsafely, or with degraded functionality.</t>
  </si>
  <si>
    <t>Operational Anomaly</t>
  </si>
  <si>
    <t>Hard Failure</t>
  </si>
  <si>
    <t>Build, deployment, or startup failure; node or system crash, freeze, deadlock, or inability to operate.</t>
  </si>
  <si>
    <t>ROS SLR Operational Coding Rules</t>
  </si>
  <si>
    <t>This manual is aligned with the current manuscript taxonomy: vulnerabilities are classified by ROS version and CIA; reliability faults are classified as CODE or SEM, with BDF, SEF, GPE, ICF, and BSE as the only reliability leaf codes.</t>
  </si>
  <si>
    <t>A. Core Coding Sequence</t>
  </si>
  <si>
    <t>Step</t>
  </si>
  <si>
    <t>Decision</t>
  </si>
  <si>
    <t>Rule</t>
  </si>
  <si>
    <t>Allowed Result</t>
  </si>
  <si>
    <t>Do Not</t>
  </si>
  <si>
    <t>Example</t>
  </si>
  <si>
    <t>Determine the ROS version</t>
  </si>
  <si>
    <t>Use only the actual study object, implementation, or evaluation. Background, related work, and future work do not count.</t>
  </si>
  <si>
    <t>ROS 1 / ROS 2 / Both / Unclear</t>
  </si>
  <si>
    <t>Code Both merely because ROS 2 is mentioned.</t>
  </si>
  <si>
    <t>Experiments on ROS Indigo → ROS 1.</t>
  </si>
  <si>
    <t>Determine the major category</t>
  </si>
  <si>
    <t>Malicious exploitation, unauthorized behavior, or a missing security policy → VUL; non-malicious internal fault → REL.</t>
  </si>
  <si>
    <t>VUL / REL / BOTH</t>
  </si>
  <si>
    <t>Automatically code BOTH because an attack causes a crash.</t>
  </si>
  <si>
    <t>Attack-induced node crash → VUL + IMP-OA.</t>
  </si>
  <si>
    <t>Determine the subcategory</t>
  </si>
  <si>
    <t>For VUL, select C, I, or A. For REL, select CODE or SEM.</t>
  </si>
  <si>
    <t>C / I / A / CODE / SEM</t>
  </si>
  <si>
    <t>Infer the subcategory from the final impact.</t>
  </si>
  <si>
    <t>Incorrect topic name → SEM.</t>
  </si>
  <si>
    <t>Select the leaf code</t>
  </si>
  <si>
    <t>Code the earliest, most specific, evidence-supported primary root-cause locus.</t>
  </si>
  <si>
    <t>One of the 19 defect codes</t>
  </si>
  <si>
    <t>Assign multiple reliability codes to the same fault instance based on its symptoms.</t>
  </si>
  <si>
    <t>Queue overflow → SEF, not ICF.</t>
  </si>
  <si>
    <t>Handle multiple defects</t>
  </si>
  <si>
    <t>A study may receive multiple codes, but each code must correspond to a distinct fault instance or fault family and have separate evidence.</t>
  </si>
  <si>
    <t>Primary code + other code(s)</t>
  </si>
  <si>
    <t>Add unevaluated codes merely because a tool claims broad support.</t>
  </si>
  <si>
    <t>Topic mismatch = ICF; unit mismatch = BSE.</t>
  </si>
  <si>
    <t>Record the impact</t>
  </si>
  <si>
    <t>The defect code describes the root cause; Impact describes the system consequence. Keep them separate.</t>
  </si>
  <si>
    <t>IMP-DS / IMP-DT / IMP-RE / IMP-FA / IMP-OA</t>
  </si>
  <si>
    <t>Use crash, delay, or wrong motion as a defect code.</t>
  </si>
  <si>
    <t>Null dereference = GPE; crash = IMP-OA.</t>
  </si>
  <si>
    <t>Record evidence</t>
  </si>
  <si>
    <t>State both the evidence and its location. Full or Partial cannot be based only on a broad summary statement.</t>
  </si>
  <si>
    <t>Section / Page / Table / Figure / Repository</t>
  </si>
  <si>
    <t>Write only “the paper discusses this issue.”</t>
  </si>
  <si>
    <t>Sec. 4.2, Fig. 3, p. 7.</t>
  </si>
  <si>
    <t>B. Defect Coverage: Full / Partial / No</t>
  </si>
  <si>
    <t>Judgment</t>
  </si>
  <si>
    <t>Required Evidence</t>
  </si>
  <si>
    <t>Not Sufficient</t>
  </si>
  <si>
    <t>Long-Form Use</t>
  </si>
  <si>
    <t>Score</t>
  </si>
  <si>
    <t>The defect category is a direct object of the study, method, or evaluation.</t>
  </si>
  <si>
    <t>An explicit fault instance, data label, experimental case, or primary empirical analysis.</t>
  </si>
  <si>
    <t>Mention only in background; an unsupported claim that the tool can address it.</t>
  </si>
  <si>
    <t>Create an evidence row in 02_Defect_Evidence.</t>
  </si>
  <si>
    <t>The category is explicitly addressed but not directly evaluated, or appears only as a secondary mechanism or capability statement.</t>
  </si>
  <si>
    <t>Explicit textual discussion, secondary analysis, or a clearly stated but unevaluated capability boundary.</t>
  </si>
  <si>
    <t>Inference only from a downstream symptom, without root-cause evidence.</t>
  </si>
  <si>
    <t>An evidence row may be created, but the limitation must be stated.</t>
  </si>
  <si>
    <t>There is insufficient evidence for the category.</t>
  </si>
  <si>
    <t>No direct instance, analysis, or explicit capability statement.</t>
  </si>
  <si>
    <t>Do not infer from topical similarity.</t>
  </si>
  <si>
    <t>Normally omitted from the long-form sheet; omission means No.</t>
  </si>
  <si>
    <t>C. Study Quality Assessment (Full = 1, Partial = 0.5, No = 0)</t>
  </si>
  <si>
    <t>Criterion</t>
  </si>
  <si>
    <t>Evidence to Record</t>
  </si>
  <si>
    <t>Note</t>
  </si>
  <si>
    <t>ROS is the research object, and the defect or method directly targets ROS mechanisms or a ROS-based system.</t>
  </si>
  <si>
    <t>ROS is a necessary experimental platform, but the research object is not fully ROS-specific.</t>
  </si>
  <si>
    <t>ROS is only an implementation tool or incidental background.</t>
  </si>
  <si>
    <t>Research question, target system, and experimental platform.</t>
  </si>
  <si>
    <t>Do not assign Full merely because ROS is used.</t>
  </si>
  <si>
    <t>The defect, root cause, trigger conditions, and boundary are clearly defined.</t>
  </si>
  <si>
    <t>Only a broad category or symptom is given, while the root cause is partially clear.</t>
  </si>
  <si>
    <t>It is not possible to determine which defect the study actually examines.</t>
  </si>
  <si>
    <t>Definition, fault instance, and attack/fault model.</t>
  </si>
  <si>
    <t>Judge by root cause, not by impact.</t>
  </si>
  <si>
    <t>Inputs, process, outputs, and key steps are sufficiently clear to understand or reproduce the work.</t>
  </si>
  <si>
    <t>The overall process is clear, but key implementation details or parameters are missing.</t>
  </si>
  <si>
    <t>The method or empirical procedure is inadequately described.</t>
  </si>
  <si>
    <t>Algorithm, workflow diagram, configuration, and parameters.</t>
  </si>
  <si>
    <t>For empirical studies, assess the reported research procedure.</t>
  </si>
  <si>
    <t>System or data, baselines, metrics, settings, and results are clearly reported and cover the main claims.</t>
  </si>
  <si>
    <t>The evaluation has limited cases, incomplete baselines or metrics, or small scale.</t>
  </si>
  <si>
    <t>There is no substantive evaluation, or only a conceptual example is provided.</t>
  </si>
  <si>
    <t>Dataset, subjects, metrics, repetitions, and results.</t>
  </si>
  <si>
    <t>Do not judge quality by whether the result is statistically significant.</t>
  </si>
  <si>
    <t>Code, data, and configuration are public, or the reported details are sufficient for independent reproduction.</t>
  </si>
  <si>
    <t>Only part of the artifacts is public, or key details remain missing.</t>
  </si>
  <si>
    <t>No artifacts are available and the description is insufficient for reproduction.</t>
  </si>
  <si>
    <t>Repository, data, versions, parameters, and reproduction steps.</t>
  </si>
  <si>
    <t>Assess availability as of the paper's publication.</t>
  </si>
  <si>
    <t>D. Tool and Evaluation-Environment Flags</t>
  </si>
  <si>
    <t>Field</t>
  </si>
  <si>
    <t>Value</t>
  </si>
  <si>
    <t>Definition</t>
  </si>
  <si>
    <t>Boundary</t>
  </si>
  <si>
    <t>Use in 01_Study_Coding</t>
  </si>
  <si>
    <t>The method requires the target node/package source code as input, or requires source-level analysis, transformation, or instrumentation.</t>
  </si>
  <si>
    <t>Requiring only package.xml, launch files, or configuration files does not automatically count as source-code dependence.</t>
  </si>
  <si>
    <t>Static source-code analyzer.</t>
  </si>
  <si>
    <t>The method can operate using binaries, network traffic, rosbag data, runtime messages/graphs, logs, or deployment configuration only.</t>
  </si>
  <si>
    <t>Use Mixed when both source-dependent and source-independent modes are present.</t>
  </si>
  <si>
    <t>Network IDS or runtime monitor.</t>
  </si>
  <si>
    <t>The same method includes both source-dependent and source-independent paths, or evaluates the two modes separately.</t>
  </si>
  <si>
    <t>Do not code Mixed merely because the paper publishes its own source code.</t>
  </si>
  <si>
    <t>Combined static and dynamic framework.</t>
  </si>
  <si>
    <t>N/A</t>
  </si>
  <si>
    <t>The study provides no executable detection/mitigation tool, or the field is not applicable.</t>
  </si>
  <si>
    <t>Do not force an empirical study or survey into Yes or No.</t>
  </si>
  <si>
    <t>Pure empirical defect study.</t>
  </si>
  <si>
    <t>Runtime evaluation is performed only in a simulator, emulated system, or synthetic ROS environment.</t>
  </si>
  <si>
    <t>Use N/A for static analysis or formal verification with no runtime environment.</t>
  </si>
  <si>
    <t>Gazebo-only or Stage-only evaluation.</t>
  </si>
  <si>
    <t>Runtime evaluation does not use a simulator or emulated system; this may include a physical robot, real hardware, deployed system, or standalone ROS testbed.</t>
  </si>
  <si>
    <t>The criterion is whether simulation/emulation is used, not whether a physical robot is necessarily present.</t>
  </si>
  <si>
    <t>Physical TurtleBot or laboratory ROS network testbed.</t>
  </si>
  <si>
    <t>The evaluation includes both simulation and a physical robot or real deployment.</t>
  </si>
  <si>
    <t>Using multiple simulators is still Yes, not Hybrid.</t>
  </si>
  <si>
    <t>Gazebo plus a physical robot.</t>
  </si>
  <si>
    <t>There is no runtime experiment, such as in static analysis, formal proof, secondary research, or pure data analysis.</t>
  </si>
  <si>
    <t>Use Unclear when execution experiments exist but the paper does not state whether simulation was used.</t>
  </si>
  <si>
    <t>Model checking without system execution.</t>
  </si>
  <si>
    <t>E. Common Boundary Cases</t>
  </si>
  <si>
    <t>Scenario</t>
  </si>
  <si>
    <t>Correct Code</t>
  </si>
  <si>
    <t>Do Not Also Code</t>
  </si>
  <si>
    <t>Impact</t>
  </si>
  <si>
    <t>Reason</t>
  </si>
  <si>
    <t>Evidence</t>
  </si>
  <si>
    <t>A node subscribes to the wrong topic name, so the robot does not move.</t>
  </si>
  <si>
    <t>The primary root cause is interface wiring; immobility is only the consequence.</t>
  </si>
  <si>
    <t>Evidence of the incorrect topic/remap and the missing message flow.</t>
  </si>
  <si>
    <t>The message arrives correctly, but degrees are interpreted as radians.</t>
  </si>
  <si>
    <t>The interface works; the defect lies in physical semantics.</t>
  </si>
  <si>
    <t>Expected unit, actual unit, and the resulting incorrect value or behavior.</t>
  </si>
  <si>
    <t>A long-running callback causes queue overflow and message loss.</t>
  </si>
  <si>
    <t>IMP-FA or IMP-OA</t>
  </si>
  <si>
    <t>The root cause is the execution/queue mechanism, not the interface contract.</t>
  </si>
  <si>
    <t>Callback duration, queue state, and timing traces.</t>
  </si>
  <si>
    <t>ROS 2 endpoints cannot communicate because their QoS settings are incompatible.</t>
  </si>
  <si>
    <t>Compatibility or configuration prevents interaction.</t>
  </si>
  <si>
    <t>QoS profiles of both endpoints and incompatibility logs.</t>
  </si>
  <si>
    <t>A missing runtime dependency in package.xml causes deployment failure.</t>
  </si>
  <si>
    <t>The root cause lies in dependency metadata.</t>
  </si>
  <si>
    <t>Manifest contents and build/deployment error.</t>
  </si>
  <si>
    <t>A shared variable lacks locking and causes a data race.</t>
  </si>
  <si>
    <t>This is a generic synchronization defect; use SEF only when callback-group or executor configuration is the cause.</t>
  </si>
  <si>
    <t>Source code, locking behavior, and sanitizer or trace evidence.</t>
  </si>
  <si>
    <t>An attacker changes control gains through an unprotected parameter interface.</t>
  </si>
  <si>
    <t>IMP-DT / IMP-FA</t>
  </si>
  <si>
    <t>The primary mechanism is unauthorized modification; add BSE only if the paper separately analyzes a benign misconfiguration of the same parameter.</t>
  </si>
  <si>
    <t>Attack model, parameter write, and resulting behavioral change.</t>
  </si>
  <si>
    <t>An attack causes a node crash.</t>
  </si>
  <si>
    <t>Relevant VUL code</t>
  </si>
  <si>
    <t>Do not automatically add REL or BOTH</t>
  </si>
  <si>
    <t>The crash is an impact. Code BOTH only when an independent internal reliability fault is also analyzed.</t>
  </si>
  <si>
    <t>Exploit chain, vulnerability mechanism, and crash evidence.</t>
  </si>
  <si>
    <t>F. Evidence Provenance (External Evidence vs. Author-Created Cases)</t>
  </si>
  <si>
    <t>Meaning</t>
  </si>
  <si>
    <t>Direct Category Evidence</t>
  </si>
  <si>
    <t>Independent Grounding</t>
  </si>
  <si>
    <t>Use</t>
  </si>
  <si>
    <t>Historical issue, commit, or vulnerability record</t>
  </si>
  <si>
    <t>External evidence of a real defect.</t>
  </si>
  <si>
    <t>Existing ROS issue or fixing commit.</t>
  </si>
  <si>
    <t>Defect observed in the study</t>
  </si>
  <si>
    <t>Usually</t>
  </si>
  <si>
    <t>Empirical finding; state whether it was discovered and evaluated in the same paper.</t>
  </si>
  <si>
    <t>Defect found in a repository or execution log.</t>
  </si>
  <si>
    <t>EP-PUB</t>
  </si>
  <si>
    <t>External public benchmark or dataset</t>
  </si>
  <si>
    <t>External evaluation evidence.</t>
  </si>
  <si>
    <t>Third-party dataset.</t>
  </si>
  <si>
    <t>Author-injected or synthetic defect</t>
  </si>
  <si>
    <t>Yes for coverage</t>
  </si>
  <si>
    <t>Shows that the method handles a constructed case, but not that the defect is prevalent.</t>
  </si>
  <si>
    <t>Mutation or seeded bug.</t>
  </si>
  <si>
    <t>Author-defined property and its violation</t>
  </si>
  <si>
    <t>Validates a formal target, but does not establish external defect prevalence.</t>
  </si>
  <si>
    <t>Author-defined safety invariant.</t>
  </si>
  <si>
    <t>Capability claim without an instance or evaluation</t>
  </si>
  <si>
    <t>Partial only</t>
  </si>
  <si>
    <t>Cannot be coded Full.</t>
  </si>
  <si>
    <t>“The method can detect semantic errors.”</t>
  </si>
  <si>
    <t>EP-REPL</t>
  </si>
  <si>
    <t>Independent replication or validation by another team</t>
  </si>
  <si>
    <t>One of the strongest forms of external maturity evidence.</t>
  </si>
  <si>
    <t>Third-party use of an existing tool.</t>
  </si>
  <si>
    <t>UNCLEAR</t>
  </si>
  <si>
    <t>Evidence provenance cannot be determined</t>
  </si>
  <si>
    <t>Avoid strong conclusions.</t>
  </si>
  <si>
    <t>The source of the case is not reported.</t>
  </si>
  <si>
    <t>Inter-rater Coding Audit / 双人编码分析记录</t>
  </si>
  <si>
    <t>The final code was produced only after comparing both independent codes and re-checking the full-text evidence and coding rules.</t>
  </si>
  <si>
    <t>Full coding audit: 91 studies</t>
  </si>
  <si>
    <t>κ sample: source rows 60–86 (N=27)</t>
  </si>
  <si>
    <t>Sample major disagreements: 0</t>
  </si>
  <si>
    <t>Sample primary disagreements: 3</t>
  </si>
  <si>
    <t>Primary Subcategory is a multi-label field. Each label set is canonicalized in the order C; I; A; CODE; SEM, and exact-set agreement is used. Cohen's kappa is estimated only on the randomly selected validation sample (source rows 60–86, N=27).</t>
  </si>
  <si>
    <t>No.</t>
  </si>
  <si>
    <t>Source Row</t>
  </si>
  <si>
    <t>Major R1</t>
  </si>
  <si>
    <t>Major R2</t>
  </si>
  <si>
    <t>Major Agreement</t>
  </si>
  <si>
    <t>Final Major</t>
  </si>
  <si>
    <t>Primary R1 (normalized)</t>
  </si>
  <si>
    <t>Primary R2 (normalized)</t>
  </si>
  <si>
    <t>Primary Agreement</t>
  </si>
  <si>
    <t>Final Primary (normalized)</t>
  </si>
  <si>
    <t>Agree</t>
  </si>
  <si>
    <t>Disagree</t>
  </si>
  <si>
    <t>C; I; A; CODE</t>
  </si>
  <si>
    <t>I; SEM</t>
  </si>
  <si>
    <t>A; CODE</t>
  </si>
  <si>
    <t>Cohen's Kappa Calculation / 卡帕系数计算</t>
  </si>
  <si>
    <t>Scope: randomly selected validation sample from source rows 60–86 (27 of 91 studies, 29.7%). Major Category and Primary Subcategory only; final adjudicated codes are excluded from reliability estimation.</t>
  </si>
  <si>
    <t>Verified sample results (source rows 60–86, N=27): Major Category κ = 1.0000 (27/27 agreements); Primary Subcategory κ = 0.8393 (24/27 exact label-set agreements).</t>
  </si>
  <si>
    <t>Primary Subcategory is treated as one nominal category per canonicalized label set; partial overlap between two sets is recorded as disagreement.</t>
  </si>
  <si>
    <t>Dimension</t>
  </si>
  <si>
    <t>Unit of analysis</t>
  </si>
  <si>
    <t>N</t>
  </si>
  <si>
    <t>Agreements</t>
  </si>
  <si>
    <t>Disagreements</t>
  </si>
  <si>
    <t>Observed agreement Po</t>
  </si>
  <si>
    <t>Expected agreement Pe</t>
  </si>
  <si>
    <t>Cohen's κ</t>
  </si>
  <si>
    <t>Interpretation</t>
  </si>
  <si>
    <t>Single nominal category</t>
  </si>
  <si>
    <t>Exact canonicalized multi-label set</t>
  </si>
  <si>
    <t>Major Category marginal distributions and expected agreement</t>
  </si>
  <si>
    <t>Major disagreement profile</t>
  </si>
  <si>
    <t>Category</t>
  </si>
  <si>
    <t>Reviewer 1 Count</t>
  </si>
  <si>
    <t>Reviewer 2 Count</t>
  </si>
  <si>
    <t>Reviewer 1 Proportion</t>
  </si>
  <si>
    <t>Reviewer 2 Proportion</t>
  </si>
  <si>
    <t>Pe Contribution</t>
  </si>
  <si>
    <t>Measure</t>
  </si>
  <si>
    <t>VUL↔REL disagreements</t>
  </si>
  <si>
    <t>Other major disagreements</t>
  </si>
  <si>
    <t>Total disagreements</t>
  </si>
  <si>
    <t>Final codes excluded from κ</t>
  </si>
  <si>
    <t>Expected agreement Pe (Major Category)</t>
  </si>
  <si>
    <t>Primary Subcategory exact-set marginal distributions and expected agreement</t>
  </si>
  <si>
    <t>Canonicalized label set</t>
  </si>
  <si>
    <t>Expected agreement Pe (Primary Subcategory)</t>
  </si>
  <si>
    <t>Calculation definition and reporting record</t>
  </si>
  <si>
    <t>Item</t>
  </si>
  <si>
    <t>Formula</t>
  </si>
  <si>
    <t>Observed agreement</t>
  </si>
  <si>
    <t>Po = A / N</t>
  </si>
  <si>
    <t>A is the number of exact agreements and N is the number of independently coded studies.</t>
  </si>
  <si>
    <t>Expected agreement</t>
  </si>
  <si>
    <t>Pe = SUM(p1j * p2j)</t>
  </si>
  <si>
    <t>For every nominal category j, the two reviewers' marginal proportions are multiplied and then summed.</t>
  </si>
  <si>
    <t>Cohen's kappa</t>
  </si>
  <si>
    <t>kappa = (Po - Pe) / (1 - Pe)</t>
  </si>
  <si>
    <t>Chance-corrected agreement between the two independent reviewers.</t>
  </si>
  <si>
    <t>Adjudication</t>
  </si>
  <si>
    <t>Not included in kappa</t>
  </si>
  <si>
    <t>Final codes are retained as the resolved coding record and are not used to inflate the reliability estimate.</t>
  </si>
  <si>
    <t>Reporting sentence: Two reviewers independently coded a randomly selected validation sample of 27 studies (source rows 60–86). Cohen's kappa was 1.000 for Major Category and 0.839 for Primary Subcategory, indicating almost perfect and almost perfect agreement, respectively, under the exact-set coding rule. All disagreements were resolved by full-text re-examination and consensus.</t>
  </si>
  <si>
    <t>Tools</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</si>
</sst>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
  </numFmts>
  <fonts count="14">
    <font>
      <sz val="11"/>
      <name val="Carlito"/>
    </font>
    <font>
      <b/>
      <sz val="16"/>
      <color rgb="FFFFFFFF"/>
      <name val="Carlito"/>
    </font>
    <font>
      <i/>
      <sz val="10"/>
      <color rgb="FF1F1F1F"/>
      <name val="Carlito"/>
    </font>
    <font>
      <b/>
      <sz val="10"/>
      <color rgb="FFFFFFFF"/>
      <name val="Carlito"/>
    </font>
    <font>
      <b/>
      <sz val="11"/>
      <color rgb="FF1F1F1F"/>
      <name val="Carlito"/>
    </font>
    <font>
      <sz val="9"/>
      <name val="宋体"/>
      <family val="3"/>
      <charset val="134"/>
    </font>
    <font>
      <b/>
      <sz val="11"/>
      <name val="Carlito"/>
    </font>
    <font>
      <sz val="10"/>
      <name val="Arial Unicode MS"/>
      <family val="2"/>
      <charset val="134"/>
    </font>
    <font>
      <sz val="11"/>
      <name val="Carlito"/>
    </font>
    <font>
      <b/>
      <sz val="10"/>
      <color rgb="FFFFFFFF"/>
      <name val="微软雅黑"/>
      <family val="2"/>
      <charset val="134"/>
    </font>
    <font>
      <i/>
      <sz val="11"/>
      <color rgb="FF1F1F1F"/>
      <name val="Carlito"/>
    </font>
    <font>
      <i/>
      <sz val="11"/>
      <name val="Carlito"/>
    </font>
    <font>
      <b/>
      <sz val="11"/>
      <color rgb="FFFFFFFF"/>
      <name val="Carlito"/>
    </font>
    <font>
      <i/>
      <sz val="10"/>
      <color rgb="FF1F1F1F"/>
      <name val="Carlito"/>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2F75B5"/>
      </patternFill>
    </fill>
    <fill>
      <patternFill patternType="solid">
        <fgColor rgb="FFD9EAD3"/>
      </patternFill>
    </fill>
    <fill>
      <patternFill patternType="solid">
        <fgColor rgb="FFEAF3F8"/>
      </patternFill>
    </fill>
    <fill>
      <patternFill patternType="solid">
        <fgColor rgb="FF2F75B5"/>
      </patternFill>
    </fill>
  </fills>
  <borders count="12">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hair">
        <color rgb="FFD9D9D9"/>
      </left>
      <right/>
      <top style="hair">
        <color rgb="FFD9D9D9"/>
      </top>
      <bottom/>
      <diagonal/>
    </border>
    <border>
      <left/>
      <right/>
      <top style="hair">
        <color rgb="FFD9D9D9"/>
      </top>
      <bottom/>
      <diagonal/>
    </border>
    <border>
      <left/>
      <right style="hair">
        <color rgb="FFD9D9D9"/>
      </right>
      <top style="hair">
        <color rgb="FFD9D9D9"/>
      </top>
      <bottom/>
      <diagonal/>
    </border>
    <border>
      <left style="hair">
        <color rgb="FFD9D9D9"/>
      </left>
      <right/>
      <top/>
      <bottom/>
      <diagonal/>
    </border>
    <border>
      <left/>
      <right style="hair">
        <color rgb="FFD9D9D9"/>
      </right>
      <top/>
      <bottom/>
      <diagonal/>
    </border>
    <border>
      <left style="hair">
        <color rgb="FFD9D9D9"/>
      </left>
      <right/>
      <top/>
      <bottom style="hair">
        <color rgb="FFD9D9D9"/>
      </bottom>
      <diagonal/>
    </border>
    <border>
      <left/>
      <right/>
      <top/>
      <bottom style="hair">
        <color rgb="FFD9D9D9"/>
      </bottom>
      <diagonal/>
    </border>
    <border>
      <left/>
      <right style="hair">
        <color rgb="FFD9D9D9"/>
      </right>
      <top/>
      <bottom style="hair">
        <color rgb="FFD9D9D9"/>
      </bottom>
      <diagonal/>
    </border>
  </borders>
  <cellStyleXfs count="2">
    <xf numFmtId="0" fontId="0" fillId="0" borderId="0"/>
    <xf numFmtId="0" fontId="8" fillId="0" borderId="0"/>
  </cellStyleXfs>
  <cellXfs count="54">
    <xf numFmtId="0" fontId="0" fillId="0" borderId="0" xfId="0"/>
    <xf numFmtId="0" fontId="3" fillId="4" borderId="1" xfId="1" applyFont="1" applyFill="1" applyBorder="1" applyAlignment="1">
      <alignment horizontal="center" vertical="center" wrapText="1"/>
    </xf>
    <xf numFmtId="0" fontId="3" fillId="4" borderId="2" xfId="1" applyFont="1" applyFill="1" applyBorder="1" applyAlignment="1">
      <alignment horizontal="center" vertical="center" wrapText="1"/>
    </xf>
    <xf numFmtId="0" fontId="3" fillId="4" borderId="3" xfId="1"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6" fillId="0" borderId="0" xfId="0" applyFont="1" applyAlignment="1">
      <alignment vertical="center" wrapText="1"/>
    </xf>
    <xf numFmtId="0" fontId="8" fillId="0" borderId="0" xfId="0" applyFont="1" applyAlignment="1">
      <alignment vertical="center" wrapText="1"/>
    </xf>
    <xf numFmtId="0" fontId="7" fillId="0" borderId="0" xfId="0" applyFont="1" applyAlignment="1">
      <alignment vertical="center" wrapText="1"/>
    </xf>
    <xf numFmtId="0" fontId="9" fillId="4" borderId="2" xfId="1" applyFont="1" applyFill="1" applyBorder="1" applyAlignment="1">
      <alignment horizontal="center" vertical="center" wrapText="1"/>
    </xf>
    <xf numFmtId="0" fontId="0" fillId="0" borderId="0" xfId="0" applyAlignment="1">
      <alignment vertical="top" wrapText="1"/>
    </xf>
    <xf numFmtId="0" fontId="3" fillId="4" borderId="0" xfId="0" applyFont="1" applyFill="1" applyAlignment="1">
      <alignment horizontal="center" vertical="center" wrapText="1"/>
    </xf>
    <xf numFmtId="0" fontId="12" fillId="4" borderId="0" xfId="0" applyFont="1" applyFill="1" applyAlignment="1">
      <alignment horizontal="center" vertical="center" wrapText="1"/>
    </xf>
    <xf numFmtId="0" fontId="0" fillId="6" borderId="0" xfId="0" applyFill="1" applyAlignment="1">
      <alignment vertical="center" wrapText="1"/>
    </xf>
    <xf numFmtId="176" fontId="0" fillId="6" borderId="0" xfId="0" applyNumberFormat="1" applyFill="1" applyAlignment="1">
      <alignment vertical="center" wrapText="1"/>
    </xf>
    <xf numFmtId="0" fontId="6" fillId="3" borderId="0" xfId="0" applyFont="1" applyFill="1" applyAlignment="1">
      <alignment horizontal="center" vertical="center"/>
    </xf>
    <xf numFmtId="0" fontId="0" fillId="0" borderId="0" xfId="0" applyAlignment="1">
      <alignment wrapText="1"/>
    </xf>
    <xf numFmtId="176" fontId="0" fillId="0" borderId="0" xfId="0" applyNumberFormat="1" applyAlignment="1">
      <alignment wrapText="1"/>
    </xf>
    <xf numFmtId="0" fontId="0" fillId="0" borderId="0" xfId="1" applyFont="1" applyAlignment="1">
      <alignment wrapText="1"/>
    </xf>
    <xf numFmtId="0" fontId="0" fillId="0" borderId="0" xfId="1" applyFont="1" applyAlignment="1">
      <alignment vertical="top" wrapText="1"/>
    </xf>
    <xf numFmtId="0" fontId="0" fillId="0" borderId="4" xfId="1" applyFont="1" applyBorder="1" applyAlignment="1">
      <alignment vertical="top" wrapText="1"/>
    </xf>
    <xf numFmtId="0" fontId="0" fillId="0" borderId="5" xfId="1" applyFont="1" applyBorder="1" applyAlignment="1">
      <alignment vertical="top" wrapText="1"/>
    </xf>
    <xf numFmtId="0" fontId="0" fillId="0" borderId="6" xfId="1" applyFont="1" applyBorder="1" applyAlignment="1">
      <alignment vertical="top" wrapText="1"/>
    </xf>
    <xf numFmtId="0" fontId="0" fillId="0" borderId="7" xfId="1" applyFont="1" applyBorder="1" applyAlignment="1">
      <alignment vertical="top" wrapText="1"/>
    </xf>
    <xf numFmtId="0" fontId="0" fillId="0" borderId="8" xfId="1" applyFont="1" applyBorder="1" applyAlignment="1">
      <alignment vertical="top" wrapText="1"/>
    </xf>
    <xf numFmtId="0" fontId="0" fillId="0" borderId="9" xfId="1" applyFont="1" applyBorder="1" applyAlignment="1">
      <alignment vertical="top" wrapText="1"/>
    </xf>
    <xf numFmtId="0" fontId="0" fillId="0" borderId="10" xfId="1" applyFont="1" applyBorder="1" applyAlignment="1">
      <alignment vertical="top" wrapText="1"/>
    </xf>
    <xf numFmtId="0" fontId="0" fillId="0" borderId="11" xfId="1" applyFont="1" applyBorder="1" applyAlignment="1">
      <alignment vertical="top" wrapText="1"/>
    </xf>
    <xf numFmtId="0" fontId="0" fillId="0" borderId="4" xfId="1" applyFont="1" applyBorder="1" applyAlignment="1">
      <alignment wrapText="1"/>
    </xf>
    <xf numFmtId="0" fontId="0" fillId="0" borderId="5" xfId="1" applyFont="1" applyBorder="1" applyAlignment="1">
      <alignment wrapText="1"/>
    </xf>
    <xf numFmtId="0" fontId="0" fillId="0" borderId="6" xfId="1" applyFont="1" applyBorder="1" applyAlignment="1">
      <alignment wrapText="1"/>
    </xf>
    <xf numFmtId="0" fontId="0" fillId="0" borderId="7" xfId="1" applyFont="1" applyBorder="1" applyAlignment="1">
      <alignment wrapText="1"/>
    </xf>
    <xf numFmtId="0" fontId="0" fillId="0" borderId="8" xfId="1" applyFont="1" applyBorder="1" applyAlignment="1">
      <alignment wrapText="1"/>
    </xf>
    <xf numFmtId="0" fontId="0" fillId="0" borderId="9" xfId="1" applyFont="1" applyBorder="1" applyAlignment="1">
      <alignment wrapText="1"/>
    </xf>
    <xf numFmtId="0" fontId="0" fillId="0" borderId="10" xfId="1" applyFont="1" applyBorder="1" applyAlignment="1">
      <alignment wrapText="1"/>
    </xf>
    <xf numFmtId="0" fontId="0" fillId="0" borderId="11" xfId="1" applyFont="1" applyBorder="1" applyAlignment="1">
      <alignment wrapText="1"/>
    </xf>
    <xf numFmtId="49" fontId="0" fillId="0" borderId="0" xfId="0" applyNumberFormat="1" applyAlignment="1">
      <alignment vertical="center" wrapText="1"/>
    </xf>
    <xf numFmtId="0" fontId="12" fillId="7" borderId="3" xfId="0" applyFont="1" applyFill="1" applyBorder="1" applyAlignment="1">
      <alignment horizontal="center" vertical="center" wrapText="1"/>
    </xf>
    <xf numFmtId="0" fontId="0" fillId="0" borderId="0" xfId="0" applyAlignment="1">
      <alignment horizontal="center" vertical="center" wrapText="1"/>
    </xf>
    <xf numFmtId="0" fontId="13" fillId="3" borderId="0" xfId="1" applyFont="1" applyFill="1" applyAlignment="1">
      <alignment horizontal="left" vertical="center" wrapText="1"/>
    </xf>
    <xf numFmtId="0" fontId="0" fillId="0" borderId="0" xfId="0"/>
    <xf numFmtId="0" fontId="1" fillId="2" borderId="0" xfId="1" applyFont="1" applyFill="1" applyAlignment="1">
      <alignment horizontal="left" vertical="center"/>
    </xf>
    <xf numFmtId="0" fontId="4" fillId="5" borderId="0" xfId="1" applyFont="1" applyFill="1" applyAlignment="1">
      <alignment horizontal="left" vertical="center"/>
    </xf>
    <xf numFmtId="0" fontId="2" fillId="3" borderId="0" xfId="1" applyFont="1" applyFill="1" applyAlignment="1">
      <alignment horizontal="left" vertical="center" wrapText="1"/>
    </xf>
    <xf numFmtId="0" fontId="1" fillId="2" borderId="0" xfId="0" applyFont="1" applyFill="1" applyAlignment="1">
      <alignment horizontal="center" vertical="center"/>
    </xf>
    <xf numFmtId="0" fontId="6" fillId="3" borderId="0" xfId="0" applyFont="1" applyFill="1" applyAlignment="1">
      <alignment horizontal="center" vertical="center"/>
    </xf>
    <xf numFmtId="0" fontId="11" fillId="6" borderId="0" xfId="0" applyFont="1" applyFill="1" applyAlignment="1">
      <alignment vertical="center" wrapText="1"/>
    </xf>
    <xf numFmtId="0" fontId="10" fillId="3" borderId="0" xfId="0" applyFont="1" applyFill="1" applyAlignment="1">
      <alignment vertical="center" wrapText="1"/>
    </xf>
    <xf numFmtId="0" fontId="0" fillId="0" borderId="0" xfId="0" applyAlignment="1">
      <alignment vertical="top" wrapText="1"/>
    </xf>
    <xf numFmtId="0" fontId="12" fillId="2" borderId="0" xfId="0" applyFont="1" applyFill="1" applyAlignment="1">
      <alignment horizontal="left" vertical="center"/>
    </xf>
    <xf numFmtId="0" fontId="0" fillId="3" borderId="0" xfId="0" applyFill="1" applyAlignment="1">
      <alignment vertical="center" wrapText="1"/>
    </xf>
    <xf numFmtId="0" fontId="12" fillId="4" borderId="0" xfId="0" applyFont="1" applyFill="1" applyAlignment="1">
      <alignment horizontal="center" vertical="center"/>
    </xf>
    <xf numFmtId="0" fontId="12" fillId="4" borderId="0" xfId="0" applyFont="1" applyFill="1" applyAlignment="1">
      <alignment horizontal="center" vertical="center" wrapText="1"/>
    </xf>
    <xf numFmtId="0" fontId="0" fillId="0" borderId="0" xfId="0" applyAlignment="1">
      <alignment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udyCodingTable" displayName="StudyCodingTable" ref="A3:V94">
  <tableColumns count="22">
    <tableColumn id="1" xr3:uid="{00000000-0010-0000-0000-000001000000}" name="Study ID"/>
    <tableColumn id="2" xr3:uid="{00000000-0010-0000-0000-000002000000}" name="Article Title / 文章标题"/>
    <tableColumn id="3" xr3:uid="{00000000-0010-0000-0000-000003000000}" name="ROS Version"/>
    <tableColumn id="4" xr3:uid="{00000000-0010-0000-0000-000004000000}" name="Major Category"/>
    <tableColumn id="18" xr3:uid="{00000000-0010-0000-0000-000012000000}" name="2-Major Category"/>
    <tableColumn id="20" xr3:uid="{00000000-0010-0000-0000-000014000000}" name="final-Major Category"/>
    <tableColumn id="5" xr3:uid="{00000000-0010-0000-0000-000005000000}" name="Primary Defect Code"/>
    <tableColumn id="6" xr3:uid="{00000000-0010-0000-0000-000006000000}" name="Primary Subcategory"/>
    <tableColumn id="19" xr3:uid="{00000000-0010-0000-0000-000013000000}" name="2-Primary Subcategory"/>
    <tableColumn id="21" xr3:uid="{00000000-0010-0000-0000-000015000000}" name="final-Primary Subcategory"/>
    <tableColumn id="7" xr3:uid="{00000000-0010-0000-0000-000007000000}" name="Other Defect Code(s)"/>
    <tableColumn id="22" xr3:uid="{00000000-0010-0000-0000-000016000000}" name="ALL Defect Code"/>
    <tableColumn id="8" xr3:uid="{00000000-0010-0000-0000-000008000000}" name="Primary Impact"/>
    <tableColumn id="9" xr3:uid="{00000000-0010-0000-0000-000009000000}" name="Source Code Required"/>
    <tableColumn id="10" xr3:uid="{00000000-0010-0000-0000-00000A000000}" name="Simulation Use"/>
    <tableColumn id="11" xr3:uid="{00000000-0010-0000-0000-00000B000000}" name="QA1 ROS Relevance"/>
    <tableColumn id="12" xr3:uid="{00000000-0010-0000-0000-00000C000000}" name="QA2 Defect Clarity"/>
    <tableColumn id="13" xr3:uid="{00000000-0010-0000-0000-00000D000000}" name="QA3 Study/Method Clarity"/>
    <tableColumn id="14" xr3:uid="{00000000-0010-0000-0000-00000E000000}" name="QA4 Evaluation Strength"/>
    <tableColumn id="15" xr3:uid="{00000000-0010-0000-0000-00000F000000}" name="QA5 Reproducibility"/>
    <tableColumn id="16" xr3:uid="{00000000-0010-0000-0000-000010000000}" name="QA Total (0-5)"/>
    <tableColumn id="17" xr3:uid="{00000000-0010-0000-0000-000011000000}" name="Adjudication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fectEvidenceTable" displayName="DefectEvidenceTable" ref="A3:Q196">
  <tableColumns count="17">
    <tableColumn id="1" xr3:uid="{00000000-0010-0000-0100-000001000000}" name="Study ID"/>
    <tableColumn id="2" xr3:uid="{00000000-0010-0000-0100-000002000000}" name="Article Title"/>
    <tableColumn id="3" xr3:uid="{00000000-0010-0000-0100-000003000000}" name="Defect Code"/>
    <tableColumn id="4" xr3:uid="{00000000-0010-0000-0100-000004000000}" name="Major Category"/>
    <tableColumn id="5" xr3:uid="{00000000-0010-0000-0100-000005000000}" name="Subcategory"/>
    <tableColumn id="6" xr3:uid="{00000000-0010-0000-0100-000006000000}" name="Coverage"/>
    <tableColumn id="7" xr3:uid="{00000000-0010-0000-0100-000007000000}" name="Evidence Statement / 证据"/>
    <tableColumn id="8" xr3:uid="{00000000-0010-0000-0100-000008000000}" name="Evidence Location"/>
    <tableColumn id="9" xr3:uid="{00000000-0010-0000-0100-000009000000}" name="Impact Category"/>
    <tableColumn id="10" xr3:uid="{00000000-0010-0000-0100-00000A000000}" name="Evidence Provenance"/>
    <tableColumn id="11" xr3:uid="{00000000-0010-0000-0100-00000B000000}" name="Notes"/>
    <tableColumn id="12" xr3:uid="{00000000-0010-0000-0100-00000C000000}" name="列1"/>
    <tableColumn id="13" xr3:uid="{00000000-0010-0000-0100-00000D000000}" name="列2"/>
    <tableColumn id="14" xr3:uid="{00000000-0010-0000-0100-00000E000000}" name="列3"/>
    <tableColumn id="15" xr3:uid="{00000000-0010-0000-0100-00000F000000}" name="列4"/>
    <tableColumn id="16" xr3:uid="{00000000-0010-0000-0100-000010000000}" name="列5"/>
    <tableColumn id="17" xr3:uid="{00000000-0010-0000-0100-000011000000}" name="列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4"/>
  <sheetViews>
    <sheetView tabSelected="1" topLeftCell="A70" workbookViewId="0">
      <selection activeCell="C80" sqref="C80"/>
    </sheetView>
  </sheetViews>
  <sheetFormatPr defaultRowHeight="13.8"/>
  <cols>
    <col min="1" max="1" width="10" customWidth="1"/>
    <col min="2" max="2" width="42" customWidth="1"/>
    <col min="3" max="3" width="13" customWidth="1"/>
    <col min="4" max="6" width="14" customWidth="1"/>
    <col min="7" max="10" width="18" customWidth="1"/>
    <col min="11" max="12" width="26" customWidth="1"/>
    <col min="13" max="13" width="15" customWidth="1"/>
    <col min="14" max="15" width="18" customWidth="1"/>
    <col min="16" max="20" width="17" customWidth="1"/>
    <col min="21" max="21" width="14" customWidth="1"/>
    <col min="22" max="22" width="36" customWidth="1"/>
    <col min="23" max="23" width="12" customWidth="1"/>
  </cols>
  <sheetData>
    <row r="1" spans="1:23" ht="26.85" customHeight="1">
      <c r="A1" s="41" t="s">
        <v>0</v>
      </c>
      <c r="B1" s="40"/>
      <c r="C1" s="40"/>
      <c r="D1" s="40"/>
      <c r="E1" s="40"/>
      <c r="F1" s="40"/>
      <c r="G1" s="40"/>
      <c r="H1" s="40"/>
      <c r="I1" s="40"/>
      <c r="J1" s="40"/>
      <c r="K1" s="40"/>
      <c r="L1" s="40"/>
      <c r="M1" s="40"/>
      <c r="N1" s="40"/>
      <c r="O1" s="40"/>
      <c r="P1" s="40"/>
      <c r="Q1" s="40"/>
      <c r="R1" s="40"/>
      <c r="S1" s="40"/>
      <c r="T1" s="40"/>
      <c r="U1" s="40"/>
      <c r="V1" s="40"/>
      <c r="W1" s="40"/>
    </row>
    <row r="2" spans="1:23" ht="26.85" customHeight="1">
      <c r="A2" s="39" t="s">
        <v>1</v>
      </c>
      <c r="B2" s="40"/>
      <c r="C2" s="40"/>
      <c r="D2" s="40"/>
      <c r="E2" s="40"/>
      <c r="F2" s="40"/>
      <c r="G2" s="40"/>
      <c r="H2" s="40"/>
      <c r="I2" s="40"/>
      <c r="J2" s="40"/>
      <c r="K2" s="40"/>
      <c r="L2" s="40"/>
      <c r="M2" s="40"/>
      <c r="N2" s="40"/>
      <c r="O2" s="40"/>
      <c r="P2" s="40"/>
      <c r="Q2" s="40"/>
      <c r="R2" s="40"/>
      <c r="S2" s="40"/>
      <c r="T2" s="40"/>
      <c r="U2" s="40"/>
      <c r="V2" s="40"/>
      <c r="W2" s="40"/>
    </row>
    <row r="3" spans="1:23" ht="26.85" customHeight="1">
      <c r="A3" s="1" t="s">
        <v>2</v>
      </c>
      <c r="B3" s="2" t="s">
        <v>3</v>
      </c>
      <c r="C3" s="2" t="s">
        <v>4</v>
      </c>
      <c r="D3" s="2" t="s">
        <v>5</v>
      </c>
      <c r="E3" s="9" t="s">
        <v>6</v>
      </c>
      <c r="F3" s="9" t="s">
        <v>7</v>
      </c>
      <c r="G3" s="2" t="s">
        <v>8</v>
      </c>
      <c r="H3" s="2" t="s">
        <v>9</v>
      </c>
      <c r="I3" s="9" t="s">
        <v>10</v>
      </c>
      <c r="J3" s="9" t="s">
        <v>11</v>
      </c>
      <c r="K3" s="2" t="s">
        <v>12</v>
      </c>
      <c r="L3" s="9" t="s">
        <v>13</v>
      </c>
      <c r="M3" s="2" t="s">
        <v>14</v>
      </c>
      <c r="N3" s="2" t="s">
        <v>15</v>
      </c>
      <c r="O3" s="2" t="s">
        <v>16</v>
      </c>
      <c r="P3" s="2" t="s">
        <v>17</v>
      </c>
      <c r="Q3" s="2" t="s">
        <v>18</v>
      </c>
      <c r="R3" s="2" t="s">
        <v>19</v>
      </c>
      <c r="S3" s="2" t="s">
        <v>20</v>
      </c>
      <c r="T3" s="2" t="s">
        <v>21</v>
      </c>
      <c r="U3" s="2" t="s">
        <v>22</v>
      </c>
      <c r="V3" s="3" t="s">
        <v>23</v>
      </c>
      <c r="W3" s="37" t="s">
        <v>1360</v>
      </c>
    </row>
    <row r="4" spans="1:23" ht="26.85" customHeight="1">
      <c r="A4" s="4" t="s">
        <v>24</v>
      </c>
      <c r="B4" s="4" t="s">
        <v>25</v>
      </c>
      <c r="C4" s="4" t="s">
        <v>26</v>
      </c>
      <c r="D4" s="4" t="s">
        <v>27</v>
      </c>
      <c r="E4" s="4" t="s">
        <v>27</v>
      </c>
      <c r="F4" s="4" t="s">
        <v>27</v>
      </c>
      <c r="G4" s="4" t="s">
        <v>28</v>
      </c>
      <c r="H4" s="4" t="s">
        <v>29</v>
      </c>
      <c r="I4" s="4" t="s">
        <v>29</v>
      </c>
      <c r="J4" s="4" t="s">
        <v>29</v>
      </c>
      <c r="K4" s="4" t="s">
        <v>30</v>
      </c>
      <c r="L4" s="36" t="s">
        <v>31</v>
      </c>
      <c r="M4" s="4" t="s">
        <v>32</v>
      </c>
      <c r="N4" s="4" t="s">
        <v>33</v>
      </c>
      <c r="O4" s="4" t="s">
        <v>33</v>
      </c>
      <c r="P4" s="4" t="s">
        <v>34</v>
      </c>
      <c r="Q4" s="4" t="s">
        <v>34</v>
      </c>
      <c r="R4" s="4" t="s">
        <v>34</v>
      </c>
      <c r="S4" s="4" t="s">
        <v>33</v>
      </c>
      <c r="T4" s="4" t="s">
        <v>33</v>
      </c>
      <c r="U4" s="5">
        <v>1.5</v>
      </c>
      <c r="V4" s="4" t="s">
        <v>35</v>
      </c>
      <c r="W4" s="38" t="s">
        <v>33</v>
      </c>
    </row>
    <row r="5" spans="1:23" ht="26.85" customHeight="1">
      <c r="A5" s="4" t="s">
        <v>24</v>
      </c>
      <c r="B5" s="4" t="s">
        <v>36</v>
      </c>
      <c r="C5" s="4" t="s">
        <v>37</v>
      </c>
      <c r="D5" s="4" t="s">
        <v>27</v>
      </c>
      <c r="E5" s="4" t="s">
        <v>27</v>
      </c>
      <c r="F5" s="4" t="s">
        <v>27</v>
      </c>
      <c r="G5" s="4" t="s">
        <v>28</v>
      </c>
      <c r="H5" s="4" t="s">
        <v>38</v>
      </c>
      <c r="I5" s="4" t="s">
        <v>38</v>
      </c>
      <c r="J5" s="4" t="s">
        <v>38</v>
      </c>
      <c r="K5" s="4" t="s">
        <v>39</v>
      </c>
      <c r="L5" s="36" t="s">
        <v>40</v>
      </c>
      <c r="M5" s="4" t="s">
        <v>32</v>
      </c>
      <c r="N5" s="4" t="s">
        <v>33</v>
      </c>
      <c r="O5" s="4" t="s">
        <v>33</v>
      </c>
      <c r="P5" s="4" t="s">
        <v>34</v>
      </c>
      <c r="Q5" s="4" t="s">
        <v>34</v>
      </c>
      <c r="R5" s="4" t="s">
        <v>34</v>
      </c>
      <c r="S5" s="4" t="s">
        <v>34</v>
      </c>
      <c r="T5" s="4" t="s">
        <v>34</v>
      </c>
      <c r="U5" s="5">
        <v>2.5</v>
      </c>
      <c r="V5" s="4" t="s">
        <v>41</v>
      </c>
      <c r="W5" s="38" t="s">
        <v>33</v>
      </c>
    </row>
    <row r="6" spans="1:23" ht="26.85" customHeight="1">
      <c r="A6" s="4" t="s">
        <v>24</v>
      </c>
      <c r="B6" s="4" t="s">
        <v>42</v>
      </c>
      <c r="C6" s="4" t="s">
        <v>26</v>
      </c>
      <c r="D6" s="4" t="s">
        <v>27</v>
      </c>
      <c r="E6" s="4" t="s">
        <v>27</v>
      </c>
      <c r="F6" s="4" t="s">
        <v>27</v>
      </c>
      <c r="G6" s="4" t="s">
        <v>43</v>
      </c>
      <c r="H6" s="4" t="s">
        <v>44</v>
      </c>
      <c r="I6" s="4" t="s">
        <v>45</v>
      </c>
      <c r="J6" s="4" t="s">
        <v>46</v>
      </c>
      <c r="K6" s="4" t="s">
        <v>28</v>
      </c>
      <c r="L6" s="36" t="s">
        <v>47</v>
      </c>
      <c r="M6" s="4" t="s">
        <v>48</v>
      </c>
      <c r="N6" s="4" t="s">
        <v>33</v>
      </c>
      <c r="O6" s="4" t="s">
        <v>33</v>
      </c>
      <c r="P6" s="4" t="s">
        <v>34</v>
      </c>
      <c r="Q6" s="4" t="s">
        <v>34</v>
      </c>
      <c r="R6" s="4" t="s">
        <v>33</v>
      </c>
      <c r="S6" s="4" t="s">
        <v>33</v>
      </c>
      <c r="T6" s="4" t="s">
        <v>33</v>
      </c>
      <c r="U6" s="5">
        <v>1</v>
      </c>
      <c r="V6" s="4" t="s">
        <v>49</v>
      </c>
      <c r="W6" s="38" t="s">
        <v>33</v>
      </c>
    </row>
    <row r="7" spans="1:23" ht="26.85" customHeight="1">
      <c r="A7" s="4" t="s">
        <v>24</v>
      </c>
      <c r="B7" s="4" t="s">
        <v>50</v>
      </c>
      <c r="C7" s="4" t="s">
        <v>37</v>
      </c>
      <c r="D7" s="4" t="s">
        <v>27</v>
      </c>
      <c r="E7" s="4" t="s">
        <v>27</v>
      </c>
      <c r="F7" s="4" t="s">
        <v>27</v>
      </c>
      <c r="G7" s="4" t="s">
        <v>51</v>
      </c>
      <c r="H7" s="4" t="s">
        <v>51</v>
      </c>
      <c r="I7" s="4" t="s">
        <v>51</v>
      </c>
      <c r="J7" s="4" t="s">
        <v>51</v>
      </c>
      <c r="K7" s="4" t="s">
        <v>51</v>
      </c>
      <c r="L7" s="36" t="s">
        <v>52</v>
      </c>
      <c r="M7" s="4" t="s">
        <v>51</v>
      </c>
      <c r="N7" s="4" t="s">
        <v>33</v>
      </c>
      <c r="O7" s="4" t="s">
        <v>33</v>
      </c>
      <c r="P7" s="4" t="s">
        <v>33</v>
      </c>
      <c r="Q7" s="4" t="s">
        <v>53</v>
      </c>
      <c r="R7" s="4" t="s">
        <v>53</v>
      </c>
      <c r="S7" s="4" t="s">
        <v>53</v>
      </c>
      <c r="T7" s="4" t="s">
        <v>53</v>
      </c>
      <c r="U7" s="5">
        <v>4</v>
      </c>
      <c r="V7" s="4" t="s">
        <v>54</v>
      </c>
      <c r="W7" s="38" t="s">
        <v>33</v>
      </c>
    </row>
    <row r="8" spans="1:23" ht="26.85" customHeight="1">
      <c r="A8" s="4" t="s">
        <v>24</v>
      </c>
      <c r="B8" s="4" t="s">
        <v>55</v>
      </c>
      <c r="C8" s="4" t="s">
        <v>37</v>
      </c>
      <c r="D8" s="4" t="s">
        <v>27</v>
      </c>
      <c r="E8" s="4" t="s">
        <v>27</v>
      </c>
      <c r="F8" s="4" t="s">
        <v>27</v>
      </c>
      <c r="G8" s="4" t="s">
        <v>28</v>
      </c>
      <c r="H8" s="4" t="s">
        <v>29</v>
      </c>
      <c r="I8" s="4" t="s">
        <v>29</v>
      </c>
      <c r="J8" s="4" t="s">
        <v>29</v>
      </c>
      <c r="K8" s="4" t="s">
        <v>56</v>
      </c>
      <c r="L8" s="36" t="s">
        <v>57</v>
      </c>
      <c r="M8" s="4" t="s">
        <v>32</v>
      </c>
      <c r="N8" s="4" t="s">
        <v>33</v>
      </c>
      <c r="O8" s="4" t="s">
        <v>33</v>
      </c>
      <c r="P8" s="4" t="s">
        <v>53</v>
      </c>
      <c r="Q8" s="4" t="s">
        <v>34</v>
      </c>
      <c r="R8" s="4" t="s">
        <v>34</v>
      </c>
      <c r="S8" s="4" t="s">
        <v>34</v>
      </c>
      <c r="T8" s="4" t="s">
        <v>33</v>
      </c>
      <c r="U8" s="5">
        <v>2.5</v>
      </c>
      <c r="V8" s="4" t="s">
        <v>58</v>
      </c>
      <c r="W8" s="38" t="s">
        <v>33</v>
      </c>
    </row>
    <row r="9" spans="1:23" ht="26.85" customHeight="1">
      <c r="A9" s="4" t="s">
        <v>24</v>
      </c>
      <c r="B9" s="4" t="s">
        <v>59</v>
      </c>
      <c r="C9" s="4" t="s">
        <v>37</v>
      </c>
      <c r="D9" s="4" t="s">
        <v>27</v>
      </c>
      <c r="E9" s="4" t="s">
        <v>27</v>
      </c>
      <c r="F9" s="4" t="s">
        <v>27</v>
      </c>
      <c r="G9" s="4" t="s">
        <v>60</v>
      </c>
      <c r="H9" s="4" t="s">
        <v>46</v>
      </c>
      <c r="I9" s="4" t="s">
        <v>46</v>
      </c>
      <c r="J9" s="4" t="s">
        <v>46</v>
      </c>
      <c r="K9" s="4" t="s">
        <v>61</v>
      </c>
      <c r="L9" s="36" t="s">
        <v>62</v>
      </c>
      <c r="M9" s="4" t="s">
        <v>48</v>
      </c>
      <c r="N9" s="4" t="s">
        <v>33</v>
      </c>
      <c r="O9" s="4" t="s">
        <v>33</v>
      </c>
      <c r="P9" s="4" t="s">
        <v>53</v>
      </c>
      <c r="Q9" s="4" t="s">
        <v>53</v>
      </c>
      <c r="R9" s="4" t="s">
        <v>53</v>
      </c>
      <c r="S9" s="4" t="s">
        <v>34</v>
      </c>
      <c r="T9" s="4" t="s">
        <v>34</v>
      </c>
      <c r="U9" s="5">
        <v>4</v>
      </c>
      <c r="V9" s="4" t="s">
        <v>63</v>
      </c>
      <c r="W9" s="38" t="s">
        <v>33</v>
      </c>
    </row>
    <row r="10" spans="1:23" ht="26.85" customHeight="1">
      <c r="A10" s="4" t="s">
        <v>24</v>
      </c>
      <c r="B10" s="4" t="s">
        <v>64</v>
      </c>
      <c r="C10" s="4" t="s">
        <v>65</v>
      </c>
      <c r="D10" s="4" t="s">
        <v>27</v>
      </c>
      <c r="E10" s="4" t="s">
        <v>27</v>
      </c>
      <c r="F10" s="4" t="s">
        <v>27</v>
      </c>
      <c r="G10" s="4" t="s">
        <v>60</v>
      </c>
      <c r="H10" s="4" t="s">
        <v>66</v>
      </c>
      <c r="I10" s="4" t="s">
        <v>66</v>
      </c>
      <c r="J10" s="4" t="s">
        <v>66</v>
      </c>
      <c r="K10" s="4" t="s">
        <v>67</v>
      </c>
      <c r="L10" s="36" t="s">
        <v>68</v>
      </c>
      <c r="M10" s="4" t="s">
        <v>48</v>
      </c>
      <c r="N10" s="4" t="s">
        <v>33</v>
      </c>
      <c r="O10" s="4" t="s">
        <v>33</v>
      </c>
      <c r="P10" s="4" t="s">
        <v>53</v>
      </c>
      <c r="Q10" s="4" t="s">
        <v>53</v>
      </c>
      <c r="R10" s="4" t="s">
        <v>53</v>
      </c>
      <c r="S10" s="4" t="s">
        <v>34</v>
      </c>
      <c r="T10" s="4" t="s">
        <v>34</v>
      </c>
      <c r="U10" s="5">
        <v>4</v>
      </c>
      <c r="V10" s="4" t="s">
        <v>69</v>
      </c>
      <c r="W10" s="38" t="s">
        <v>33</v>
      </c>
    </row>
    <row r="11" spans="1:23" ht="26.85" customHeight="1">
      <c r="A11" s="4" t="s">
        <v>24</v>
      </c>
      <c r="B11" s="4" t="s">
        <v>70</v>
      </c>
      <c r="C11" s="4" t="s">
        <v>37</v>
      </c>
      <c r="D11" s="4" t="s">
        <v>71</v>
      </c>
      <c r="E11" s="4" t="s">
        <v>71</v>
      </c>
      <c r="F11" s="4" t="s">
        <v>71</v>
      </c>
      <c r="G11" s="4" t="s">
        <v>72</v>
      </c>
      <c r="H11" s="4" t="s">
        <v>73</v>
      </c>
      <c r="I11" s="4" t="s">
        <v>73</v>
      </c>
      <c r="J11" s="4" t="s">
        <v>73</v>
      </c>
      <c r="K11" s="4" t="s">
        <v>74</v>
      </c>
      <c r="L11" s="36" t="s">
        <v>75</v>
      </c>
      <c r="M11" s="4" t="s">
        <v>76</v>
      </c>
      <c r="N11" s="4" t="s">
        <v>33</v>
      </c>
      <c r="O11" s="4" t="s">
        <v>33</v>
      </c>
      <c r="P11" s="4" t="s">
        <v>53</v>
      </c>
      <c r="Q11" s="4" t="s">
        <v>53</v>
      </c>
      <c r="R11" s="4" t="s">
        <v>53</v>
      </c>
      <c r="S11" s="4" t="s">
        <v>34</v>
      </c>
      <c r="T11" s="4" t="s">
        <v>53</v>
      </c>
      <c r="U11" s="5">
        <v>4.5</v>
      </c>
      <c r="V11" s="4" t="s">
        <v>77</v>
      </c>
      <c r="W11" s="38" t="s">
        <v>33</v>
      </c>
    </row>
    <row r="12" spans="1:23" ht="26.85" customHeight="1">
      <c r="A12" s="4" t="s">
        <v>24</v>
      </c>
      <c r="B12" s="4" t="s">
        <v>78</v>
      </c>
      <c r="C12" s="4" t="s">
        <v>26</v>
      </c>
      <c r="D12" s="4" t="s">
        <v>27</v>
      </c>
      <c r="E12" s="4" t="s">
        <v>27</v>
      </c>
      <c r="F12" s="4" t="s">
        <v>27</v>
      </c>
      <c r="G12" s="4" t="s">
        <v>28</v>
      </c>
      <c r="H12" s="4" t="s">
        <v>29</v>
      </c>
      <c r="I12" s="4" t="s">
        <v>29</v>
      </c>
      <c r="J12" s="4" t="s">
        <v>29</v>
      </c>
      <c r="K12" s="4" t="s">
        <v>79</v>
      </c>
      <c r="L12" s="36" t="s">
        <v>80</v>
      </c>
      <c r="M12" s="4" t="s">
        <v>32</v>
      </c>
      <c r="N12" s="4" t="s">
        <v>33</v>
      </c>
      <c r="O12" s="4" t="s">
        <v>33</v>
      </c>
      <c r="P12" s="4" t="s">
        <v>53</v>
      </c>
      <c r="Q12" s="4" t="s">
        <v>53</v>
      </c>
      <c r="R12" s="4" t="s">
        <v>34</v>
      </c>
      <c r="S12" s="4" t="s">
        <v>33</v>
      </c>
      <c r="T12" s="4" t="s">
        <v>33</v>
      </c>
      <c r="U12" s="5">
        <v>2.5</v>
      </c>
      <c r="V12" s="4" t="s">
        <v>81</v>
      </c>
      <c r="W12" s="38" t="s">
        <v>33</v>
      </c>
    </row>
    <row r="13" spans="1:23" ht="26.85" customHeight="1">
      <c r="A13" s="4" t="s">
        <v>24</v>
      </c>
      <c r="B13" s="4" t="s">
        <v>82</v>
      </c>
      <c r="C13" s="4" t="s">
        <v>26</v>
      </c>
      <c r="D13" s="4" t="s">
        <v>27</v>
      </c>
      <c r="E13" s="4" t="s">
        <v>27</v>
      </c>
      <c r="F13" s="4" t="s">
        <v>27</v>
      </c>
      <c r="G13" s="4" t="s">
        <v>83</v>
      </c>
      <c r="H13" s="4" t="s">
        <v>45</v>
      </c>
      <c r="I13" s="4" t="s">
        <v>44</v>
      </c>
      <c r="J13" s="4" t="s">
        <v>38</v>
      </c>
      <c r="K13" s="4" t="s">
        <v>84</v>
      </c>
      <c r="L13" s="36" t="s">
        <v>85</v>
      </c>
      <c r="M13" s="4" t="s">
        <v>32</v>
      </c>
      <c r="N13" s="4" t="s">
        <v>33</v>
      </c>
      <c r="O13" s="4" t="s">
        <v>86</v>
      </c>
      <c r="P13" s="4" t="s">
        <v>53</v>
      </c>
      <c r="Q13" s="4" t="s">
        <v>53</v>
      </c>
      <c r="R13" s="4" t="s">
        <v>34</v>
      </c>
      <c r="S13" s="4" t="s">
        <v>34</v>
      </c>
      <c r="T13" s="4" t="s">
        <v>34</v>
      </c>
      <c r="U13" s="5">
        <v>3.5</v>
      </c>
      <c r="V13" s="4" t="s">
        <v>87</v>
      </c>
      <c r="W13" s="38" t="s">
        <v>33</v>
      </c>
    </row>
    <row r="14" spans="1:23" ht="26.85" customHeight="1">
      <c r="A14" s="4" t="s">
        <v>24</v>
      </c>
      <c r="B14" s="4" t="s">
        <v>88</v>
      </c>
      <c r="C14" s="4" t="s">
        <v>26</v>
      </c>
      <c r="D14" s="4" t="s">
        <v>27</v>
      </c>
      <c r="E14" s="4" t="s">
        <v>27</v>
      </c>
      <c r="F14" s="4" t="s">
        <v>27</v>
      </c>
      <c r="G14" s="4" t="s">
        <v>28</v>
      </c>
      <c r="H14" s="4" t="s">
        <v>38</v>
      </c>
      <c r="I14" s="4" t="s">
        <v>38</v>
      </c>
      <c r="J14" s="4" t="s">
        <v>38</v>
      </c>
      <c r="K14" s="4" t="s">
        <v>89</v>
      </c>
      <c r="L14" s="36" t="s">
        <v>85</v>
      </c>
      <c r="M14" s="4" t="s">
        <v>32</v>
      </c>
      <c r="N14" s="4" t="s">
        <v>33</v>
      </c>
      <c r="O14" s="4" t="s">
        <v>86</v>
      </c>
      <c r="P14" s="4" t="s">
        <v>53</v>
      </c>
      <c r="Q14" s="4" t="s">
        <v>53</v>
      </c>
      <c r="R14" s="4" t="s">
        <v>53</v>
      </c>
      <c r="S14" s="4" t="s">
        <v>53</v>
      </c>
      <c r="T14" s="4" t="s">
        <v>34</v>
      </c>
      <c r="U14" s="5">
        <v>4.5</v>
      </c>
      <c r="V14" s="4" t="s">
        <v>90</v>
      </c>
      <c r="W14" s="38" t="s">
        <v>33</v>
      </c>
    </row>
    <row r="15" spans="1:23" ht="26.85" customHeight="1">
      <c r="A15" s="4" t="s">
        <v>24</v>
      </c>
      <c r="B15" s="4" t="s">
        <v>91</v>
      </c>
      <c r="C15" s="4" t="s">
        <v>26</v>
      </c>
      <c r="D15" s="4" t="s">
        <v>27</v>
      </c>
      <c r="E15" s="4" t="s">
        <v>27</v>
      </c>
      <c r="F15" s="4" t="s">
        <v>27</v>
      </c>
      <c r="G15" s="4" t="s">
        <v>28</v>
      </c>
      <c r="H15" s="4" t="s">
        <v>38</v>
      </c>
      <c r="I15" s="4" t="s">
        <v>38</v>
      </c>
      <c r="J15" s="4" t="s">
        <v>38</v>
      </c>
      <c r="K15" s="4" t="s">
        <v>89</v>
      </c>
      <c r="L15" s="36" t="s">
        <v>80</v>
      </c>
      <c r="M15" s="4" t="s">
        <v>32</v>
      </c>
      <c r="N15" s="4" t="s">
        <v>33</v>
      </c>
      <c r="O15" s="4" t="s">
        <v>33</v>
      </c>
      <c r="P15" s="4" t="s">
        <v>53</v>
      </c>
      <c r="Q15" s="4" t="s">
        <v>53</v>
      </c>
      <c r="R15" s="4" t="s">
        <v>34</v>
      </c>
      <c r="S15" s="4" t="s">
        <v>34</v>
      </c>
      <c r="T15" s="4" t="s">
        <v>33</v>
      </c>
      <c r="U15" s="5">
        <v>3</v>
      </c>
      <c r="V15" s="4" t="s">
        <v>92</v>
      </c>
      <c r="W15" s="38" t="s">
        <v>33</v>
      </c>
    </row>
    <row r="16" spans="1:23" ht="26.85" customHeight="1">
      <c r="A16" s="4" t="s">
        <v>24</v>
      </c>
      <c r="B16" s="4" t="s">
        <v>93</v>
      </c>
      <c r="C16" s="4" t="s">
        <v>26</v>
      </c>
      <c r="D16" s="4" t="s">
        <v>27</v>
      </c>
      <c r="E16" s="4" t="s">
        <v>27</v>
      </c>
      <c r="F16" s="4" t="s">
        <v>27</v>
      </c>
      <c r="G16" s="4" t="s">
        <v>94</v>
      </c>
      <c r="H16" s="4" t="s">
        <v>46</v>
      </c>
      <c r="I16" s="4" t="s">
        <v>46</v>
      </c>
      <c r="J16" s="4" t="s">
        <v>46</v>
      </c>
      <c r="K16" s="4" t="s">
        <v>95</v>
      </c>
      <c r="L16" s="36" t="s">
        <v>96</v>
      </c>
      <c r="M16" s="4" t="s">
        <v>32</v>
      </c>
      <c r="N16" s="4" t="s">
        <v>33</v>
      </c>
      <c r="O16" s="4" t="s">
        <v>33</v>
      </c>
      <c r="P16" s="4" t="s">
        <v>53</v>
      </c>
      <c r="Q16" s="4" t="s">
        <v>53</v>
      </c>
      <c r="R16" s="4" t="s">
        <v>53</v>
      </c>
      <c r="S16" s="4" t="s">
        <v>53</v>
      </c>
      <c r="T16" s="4" t="s">
        <v>34</v>
      </c>
      <c r="U16" s="5">
        <v>4.5</v>
      </c>
      <c r="V16" s="4" t="s">
        <v>97</v>
      </c>
      <c r="W16" s="38" t="s">
        <v>33</v>
      </c>
    </row>
    <row r="17" spans="1:23" ht="26.85" customHeight="1">
      <c r="A17" s="4" t="s">
        <v>24</v>
      </c>
      <c r="B17" s="4" t="s">
        <v>98</v>
      </c>
      <c r="C17" s="4" t="s">
        <v>26</v>
      </c>
      <c r="D17" s="4" t="s">
        <v>27</v>
      </c>
      <c r="E17" s="4" t="s">
        <v>27</v>
      </c>
      <c r="F17" s="4" t="s">
        <v>27</v>
      </c>
      <c r="G17" s="4" t="s">
        <v>43</v>
      </c>
      <c r="H17" s="4" t="s">
        <v>46</v>
      </c>
      <c r="I17" s="4" t="s">
        <v>46</v>
      </c>
      <c r="J17" s="4" t="s">
        <v>46</v>
      </c>
      <c r="K17" s="4" t="s">
        <v>99</v>
      </c>
      <c r="L17" s="36" t="s">
        <v>100</v>
      </c>
      <c r="M17" s="4" t="s">
        <v>32</v>
      </c>
      <c r="N17" s="4" t="s">
        <v>33</v>
      </c>
      <c r="O17" s="4" t="s">
        <v>33</v>
      </c>
      <c r="P17" s="4" t="s">
        <v>53</v>
      </c>
      <c r="Q17" s="4" t="s">
        <v>53</v>
      </c>
      <c r="R17" s="4" t="s">
        <v>53</v>
      </c>
      <c r="S17" s="4" t="s">
        <v>34</v>
      </c>
      <c r="T17" s="4" t="s">
        <v>34</v>
      </c>
      <c r="U17" s="5">
        <v>4</v>
      </c>
      <c r="V17" s="4" t="s">
        <v>101</v>
      </c>
      <c r="W17" s="38" t="s">
        <v>33</v>
      </c>
    </row>
    <row r="18" spans="1:23" ht="26.85" customHeight="1">
      <c r="A18" s="4" t="s">
        <v>24</v>
      </c>
      <c r="B18" s="4" t="s">
        <v>102</v>
      </c>
      <c r="C18" s="4" t="s">
        <v>26</v>
      </c>
      <c r="D18" s="4" t="s">
        <v>27</v>
      </c>
      <c r="E18" s="4" t="s">
        <v>27</v>
      </c>
      <c r="F18" s="4" t="s">
        <v>27</v>
      </c>
      <c r="G18" s="4" t="s">
        <v>28</v>
      </c>
      <c r="H18" s="4" t="s">
        <v>103</v>
      </c>
      <c r="I18" s="4" t="s">
        <v>103</v>
      </c>
      <c r="J18" s="4" t="s">
        <v>103</v>
      </c>
      <c r="K18" s="4" t="s">
        <v>104</v>
      </c>
      <c r="L18" s="36" t="s">
        <v>100</v>
      </c>
      <c r="M18" s="4" t="s">
        <v>32</v>
      </c>
      <c r="N18" s="4" t="s">
        <v>33</v>
      </c>
      <c r="O18" s="4" t="s">
        <v>86</v>
      </c>
      <c r="P18" s="4" t="s">
        <v>53</v>
      </c>
      <c r="Q18" s="4" t="s">
        <v>53</v>
      </c>
      <c r="R18" s="4" t="s">
        <v>53</v>
      </c>
      <c r="S18" s="4" t="s">
        <v>34</v>
      </c>
      <c r="T18" s="4" t="s">
        <v>34</v>
      </c>
      <c r="U18" s="5">
        <v>4</v>
      </c>
      <c r="V18" s="4" t="s">
        <v>105</v>
      </c>
      <c r="W18" s="38" t="s">
        <v>33</v>
      </c>
    </row>
    <row r="19" spans="1:23" ht="26.85" customHeight="1">
      <c r="A19" s="4" t="s">
        <v>24</v>
      </c>
      <c r="B19" s="4" t="s">
        <v>106</v>
      </c>
      <c r="C19" s="4" t="s">
        <v>26</v>
      </c>
      <c r="D19" s="4" t="s">
        <v>27</v>
      </c>
      <c r="E19" s="4" t="s">
        <v>27</v>
      </c>
      <c r="F19" s="4" t="s">
        <v>27</v>
      </c>
      <c r="G19" s="4" t="s">
        <v>28</v>
      </c>
      <c r="H19" s="4" t="s">
        <v>38</v>
      </c>
      <c r="I19" s="4" t="s">
        <v>38</v>
      </c>
      <c r="J19" s="4" t="s">
        <v>38</v>
      </c>
      <c r="K19" s="4" t="s">
        <v>107</v>
      </c>
      <c r="L19" s="36" t="s">
        <v>108</v>
      </c>
      <c r="M19" s="4" t="s">
        <v>32</v>
      </c>
      <c r="N19" s="4" t="s">
        <v>33</v>
      </c>
      <c r="O19" s="4" t="s">
        <v>86</v>
      </c>
      <c r="P19" s="4" t="s">
        <v>53</v>
      </c>
      <c r="Q19" s="4" t="s">
        <v>53</v>
      </c>
      <c r="R19" s="4" t="s">
        <v>53</v>
      </c>
      <c r="S19" s="4" t="s">
        <v>34</v>
      </c>
      <c r="T19" s="4" t="s">
        <v>53</v>
      </c>
      <c r="U19" s="5">
        <v>4.5</v>
      </c>
      <c r="V19" s="4" t="s">
        <v>109</v>
      </c>
      <c r="W19" s="38" t="s">
        <v>33</v>
      </c>
    </row>
    <row r="20" spans="1:23" ht="26.85" customHeight="1">
      <c r="A20" s="4" t="s">
        <v>24</v>
      </c>
      <c r="B20" s="4" t="s">
        <v>110</v>
      </c>
      <c r="C20" s="4" t="s">
        <v>26</v>
      </c>
      <c r="D20" s="4" t="s">
        <v>27</v>
      </c>
      <c r="E20" s="4" t="s">
        <v>27</v>
      </c>
      <c r="F20" s="4" t="s">
        <v>27</v>
      </c>
      <c r="G20" s="4" t="s">
        <v>111</v>
      </c>
      <c r="H20" s="4" t="s">
        <v>112</v>
      </c>
      <c r="I20" s="4" t="s">
        <v>112</v>
      </c>
      <c r="J20" s="4" t="s">
        <v>112</v>
      </c>
      <c r="K20" s="4" t="s">
        <v>51</v>
      </c>
      <c r="L20" s="36" t="s">
        <v>100</v>
      </c>
      <c r="M20" s="4" t="s">
        <v>113</v>
      </c>
      <c r="N20" s="4" t="s">
        <v>33</v>
      </c>
      <c r="O20" s="4" t="s">
        <v>86</v>
      </c>
      <c r="P20" s="4" t="s">
        <v>53</v>
      </c>
      <c r="Q20" s="4" t="s">
        <v>53</v>
      </c>
      <c r="R20" s="4" t="s">
        <v>53</v>
      </c>
      <c r="S20" s="4" t="s">
        <v>53</v>
      </c>
      <c r="T20" s="4" t="s">
        <v>34</v>
      </c>
      <c r="U20" s="5">
        <v>4.5</v>
      </c>
      <c r="V20" s="4" t="s">
        <v>114</v>
      </c>
      <c r="W20" s="38" t="s">
        <v>33</v>
      </c>
    </row>
    <row r="21" spans="1:23" ht="26.85" customHeight="1">
      <c r="A21" s="4" t="s">
        <v>24</v>
      </c>
      <c r="B21" s="4" t="s">
        <v>115</v>
      </c>
      <c r="C21" s="4" t="s">
        <v>26</v>
      </c>
      <c r="D21" s="4" t="s">
        <v>27</v>
      </c>
      <c r="E21" s="4" t="s">
        <v>27</v>
      </c>
      <c r="F21" s="4" t="s">
        <v>27</v>
      </c>
      <c r="G21" s="4" t="s">
        <v>43</v>
      </c>
      <c r="H21" s="4" t="s">
        <v>38</v>
      </c>
      <c r="I21" s="4" t="s">
        <v>38</v>
      </c>
      <c r="J21" s="4" t="s">
        <v>38</v>
      </c>
      <c r="K21" s="4" t="s">
        <v>116</v>
      </c>
      <c r="L21" s="36" t="s">
        <v>85</v>
      </c>
      <c r="M21" s="4" t="s">
        <v>32</v>
      </c>
      <c r="N21" s="4" t="s">
        <v>33</v>
      </c>
      <c r="O21" s="4" t="s">
        <v>33</v>
      </c>
      <c r="P21" s="4" t="s">
        <v>53</v>
      </c>
      <c r="Q21" s="4" t="s">
        <v>53</v>
      </c>
      <c r="R21" s="4" t="s">
        <v>53</v>
      </c>
      <c r="S21" s="4" t="s">
        <v>34</v>
      </c>
      <c r="T21" s="4" t="s">
        <v>34</v>
      </c>
      <c r="U21" s="5">
        <v>4</v>
      </c>
      <c r="V21" s="4" t="s">
        <v>117</v>
      </c>
      <c r="W21" s="38" t="s">
        <v>33</v>
      </c>
    </row>
    <row r="22" spans="1:23" ht="26.85" customHeight="1">
      <c r="A22" s="4" t="s">
        <v>24</v>
      </c>
      <c r="B22" s="4" t="s">
        <v>118</v>
      </c>
      <c r="C22" s="4" t="s">
        <v>37</v>
      </c>
      <c r="D22" s="4" t="s">
        <v>27</v>
      </c>
      <c r="E22" s="4" t="s">
        <v>27</v>
      </c>
      <c r="F22" s="4" t="s">
        <v>27</v>
      </c>
      <c r="G22" s="4" t="s">
        <v>83</v>
      </c>
      <c r="H22" s="4" t="s">
        <v>45</v>
      </c>
      <c r="I22" s="4" t="s">
        <v>44</v>
      </c>
      <c r="J22" s="4" t="s">
        <v>38</v>
      </c>
      <c r="K22" s="4" t="s">
        <v>119</v>
      </c>
      <c r="L22" s="36" t="s">
        <v>108</v>
      </c>
      <c r="M22" s="4" t="s">
        <v>120</v>
      </c>
      <c r="N22" s="4" t="s">
        <v>33</v>
      </c>
      <c r="O22" s="4" t="s">
        <v>86</v>
      </c>
      <c r="P22" s="4" t="s">
        <v>53</v>
      </c>
      <c r="Q22" s="4" t="s">
        <v>53</v>
      </c>
      <c r="R22" s="4" t="s">
        <v>53</v>
      </c>
      <c r="S22" s="4" t="s">
        <v>34</v>
      </c>
      <c r="T22" s="4" t="s">
        <v>34</v>
      </c>
      <c r="U22" s="5">
        <v>4</v>
      </c>
      <c r="V22" s="4" t="s">
        <v>121</v>
      </c>
      <c r="W22" s="38" t="s">
        <v>33</v>
      </c>
    </row>
    <row r="23" spans="1:23" ht="26.85" customHeight="1">
      <c r="A23" s="4" t="s">
        <v>24</v>
      </c>
      <c r="B23" s="4" t="s">
        <v>122</v>
      </c>
      <c r="C23" s="4" t="s">
        <v>37</v>
      </c>
      <c r="D23" s="4" t="s">
        <v>123</v>
      </c>
      <c r="E23" s="4" t="s">
        <v>27</v>
      </c>
      <c r="F23" s="4" t="s">
        <v>27</v>
      </c>
      <c r="G23" s="4" t="s">
        <v>28</v>
      </c>
      <c r="H23" s="4" t="s">
        <v>124</v>
      </c>
      <c r="I23" s="4" t="s">
        <v>125</v>
      </c>
      <c r="J23" s="4" t="s">
        <v>126</v>
      </c>
      <c r="K23" s="4" t="s">
        <v>127</v>
      </c>
      <c r="L23" s="36" t="s">
        <v>80</v>
      </c>
      <c r="M23" s="4" t="s">
        <v>32</v>
      </c>
      <c r="N23" s="4" t="s">
        <v>33</v>
      </c>
      <c r="O23" s="4" t="s">
        <v>33</v>
      </c>
      <c r="P23" s="4" t="s">
        <v>53</v>
      </c>
      <c r="Q23" s="4" t="s">
        <v>34</v>
      </c>
      <c r="R23" s="4" t="s">
        <v>33</v>
      </c>
      <c r="S23" s="4" t="s">
        <v>33</v>
      </c>
      <c r="T23" s="4" t="s">
        <v>33</v>
      </c>
      <c r="U23" s="5">
        <v>1.5</v>
      </c>
      <c r="V23" s="4" t="s">
        <v>128</v>
      </c>
      <c r="W23" s="38" t="s">
        <v>33</v>
      </c>
    </row>
    <row r="24" spans="1:23" ht="26.85" customHeight="1">
      <c r="A24" s="4" t="s">
        <v>24</v>
      </c>
      <c r="B24" s="4" t="s">
        <v>129</v>
      </c>
      <c r="C24" s="4" t="s">
        <v>26</v>
      </c>
      <c r="D24" s="4" t="s">
        <v>27</v>
      </c>
      <c r="E24" s="4" t="s">
        <v>27</v>
      </c>
      <c r="F24" s="4" t="s">
        <v>27</v>
      </c>
      <c r="G24" s="4" t="s">
        <v>43</v>
      </c>
      <c r="H24" s="4" t="s">
        <v>46</v>
      </c>
      <c r="I24" s="4" t="s">
        <v>46</v>
      </c>
      <c r="J24" s="4" t="s">
        <v>46</v>
      </c>
      <c r="K24" s="4" t="s">
        <v>83</v>
      </c>
      <c r="L24" s="36" t="s">
        <v>80</v>
      </c>
      <c r="M24" s="4" t="s">
        <v>48</v>
      </c>
      <c r="N24" s="4" t="s">
        <v>33</v>
      </c>
      <c r="O24" s="4" t="s">
        <v>33</v>
      </c>
      <c r="P24" s="4" t="s">
        <v>53</v>
      </c>
      <c r="Q24" s="4" t="s">
        <v>53</v>
      </c>
      <c r="R24" s="4" t="s">
        <v>34</v>
      </c>
      <c r="S24" s="4" t="s">
        <v>33</v>
      </c>
      <c r="T24" s="4" t="s">
        <v>33</v>
      </c>
      <c r="U24" s="5">
        <v>2.5</v>
      </c>
      <c r="V24" s="4" t="s">
        <v>130</v>
      </c>
      <c r="W24" s="38" t="s">
        <v>33</v>
      </c>
    </row>
    <row r="25" spans="1:23" ht="26.85" customHeight="1">
      <c r="A25" s="4" t="s">
        <v>24</v>
      </c>
      <c r="B25" s="4" t="s">
        <v>131</v>
      </c>
      <c r="C25" s="4" t="s">
        <v>26</v>
      </c>
      <c r="D25" s="4" t="s">
        <v>27</v>
      </c>
      <c r="E25" s="4" t="s">
        <v>27</v>
      </c>
      <c r="F25" s="4" t="s">
        <v>27</v>
      </c>
      <c r="G25" s="4" t="s">
        <v>111</v>
      </c>
      <c r="H25" s="4" t="s">
        <v>132</v>
      </c>
      <c r="I25" s="4" t="s">
        <v>132</v>
      </c>
      <c r="J25" s="4" t="s">
        <v>132</v>
      </c>
      <c r="K25" s="4" t="s">
        <v>133</v>
      </c>
      <c r="L25" s="36" t="s">
        <v>80</v>
      </c>
      <c r="M25" s="4" t="s">
        <v>113</v>
      </c>
      <c r="N25" s="4" t="s">
        <v>33</v>
      </c>
      <c r="O25" s="4" t="s">
        <v>86</v>
      </c>
      <c r="P25" s="4" t="s">
        <v>53</v>
      </c>
      <c r="Q25" s="4" t="s">
        <v>53</v>
      </c>
      <c r="R25" s="4" t="s">
        <v>53</v>
      </c>
      <c r="S25" s="4" t="s">
        <v>53</v>
      </c>
      <c r="T25" s="4" t="s">
        <v>34</v>
      </c>
      <c r="U25" s="5">
        <v>4.5</v>
      </c>
      <c r="V25" s="4" t="s">
        <v>134</v>
      </c>
      <c r="W25" s="38" t="s">
        <v>33</v>
      </c>
    </row>
    <row r="26" spans="1:23" ht="26.85" customHeight="1">
      <c r="A26" s="4" t="s">
        <v>24</v>
      </c>
      <c r="B26" s="4" t="s">
        <v>135</v>
      </c>
      <c r="C26" s="4" t="s">
        <v>37</v>
      </c>
      <c r="D26" s="4" t="s">
        <v>27</v>
      </c>
      <c r="E26" s="4" t="s">
        <v>27</v>
      </c>
      <c r="F26" s="4" t="s">
        <v>27</v>
      </c>
      <c r="G26" s="4" t="s">
        <v>94</v>
      </c>
      <c r="H26" s="4" t="s">
        <v>46</v>
      </c>
      <c r="I26" s="4" t="s">
        <v>46</v>
      </c>
      <c r="J26" s="4" t="s">
        <v>46</v>
      </c>
      <c r="K26" s="4" t="s">
        <v>99</v>
      </c>
      <c r="L26" s="36" t="s">
        <v>136</v>
      </c>
      <c r="M26" s="4" t="s">
        <v>48</v>
      </c>
      <c r="N26" s="4" t="s">
        <v>33</v>
      </c>
      <c r="O26" s="4" t="s">
        <v>33</v>
      </c>
      <c r="P26" s="4" t="s">
        <v>53</v>
      </c>
      <c r="Q26" s="4" t="s">
        <v>53</v>
      </c>
      <c r="R26" s="4" t="s">
        <v>53</v>
      </c>
      <c r="S26" s="4" t="s">
        <v>53</v>
      </c>
      <c r="T26" s="4" t="s">
        <v>53</v>
      </c>
      <c r="U26" s="5">
        <v>5</v>
      </c>
      <c r="V26" s="4" t="s">
        <v>137</v>
      </c>
      <c r="W26" s="38" t="s">
        <v>33</v>
      </c>
    </row>
    <row r="27" spans="1:23" ht="26.85" customHeight="1">
      <c r="A27" s="4" t="s">
        <v>24</v>
      </c>
      <c r="B27" s="4" t="s">
        <v>138</v>
      </c>
      <c r="C27" s="4" t="s">
        <v>26</v>
      </c>
      <c r="D27" s="4" t="s">
        <v>27</v>
      </c>
      <c r="E27" s="4" t="s">
        <v>27</v>
      </c>
      <c r="F27" s="4" t="s">
        <v>27</v>
      </c>
      <c r="G27" s="4" t="s">
        <v>111</v>
      </c>
      <c r="H27" s="4" t="s">
        <v>112</v>
      </c>
      <c r="I27" s="4" t="s">
        <v>112</v>
      </c>
      <c r="J27" s="4" t="s">
        <v>112</v>
      </c>
      <c r="K27" s="4" t="s">
        <v>139</v>
      </c>
      <c r="L27" s="36" t="s">
        <v>140</v>
      </c>
      <c r="M27" s="4" t="s">
        <v>113</v>
      </c>
      <c r="N27" s="4" t="s">
        <v>33</v>
      </c>
      <c r="O27" s="4" t="s">
        <v>33</v>
      </c>
      <c r="P27" s="4" t="s">
        <v>53</v>
      </c>
      <c r="Q27" s="4" t="s">
        <v>53</v>
      </c>
      <c r="R27" s="4" t="s">
        <v>53</v>
      </c>
      <c r="S27" s="4" t="s">
        <v>53</v>
      </c>
      <c r="T27" s="4" t="s">
        <v>34</v>
      </c>
      <c r="U27" s="5">
        <v>4.5</v>
      </c>
      <c r="V27" s="4" t="s">
        <v>141</v>
      </c>
      <c r="W27" s="38" t="s">
        <v>33</v>
      </c>
    </row>
    <row r="28" spans="1:23" ht="26.85" customHeight="1">
      <c r="A28" s="4" t="s">
        <v>24</v>
      </c>
      <c r="B28" s="4" t="s">
        <v>142</v>
      </c>
      <c r="C28" s="4" t="s">
        <v>65</v>
      </c>
      <c r="D28" s="4" t="s">
        <v>27</v>
      </c>
      <c r="E28" s="4" t="s">
        <v>27</v>
      </c>
      <c r="F28" s="4" t="s">
        <v>27</v>
      </c>
      <c r="G28" s="4" t="s">
        <v>60</v>
      </c>
      <c r="H28" s="4" t="s">
        <v>45</v>
      </c>
      <c r="I28" s="4" t="s">
        <v>45</v>
      </c>
      <c r="J28" s="4" t="s">
        <v>45</v>
      </c>
      <c r="K28" s="4" t="s">
        <v>51</v>
      </c>
      <c r="L28" s="36" t="s">
        <v>143</v>
      </c>
      <c r="M28" s="4" t="s">
        <v>48</v>
      </c>
      <c r="N28" s="4" t="s">
        <v>33</v>
      </c>
      <c r="O28" s="4" t="s">
        <v>86</v>
      </c>
      <c r="P28" s="4" t="s">
        <v>34</v>
      </c>
      <c r="Q28" s="4" t="s">
        <v>53</v>
      </c>
      <c r="R28" s="4" t="s">
        <v>53</v>
      </c>
      <c r="S28" s="4" t="s">
        <v>53</v>
      </c>
      <c r="T28" s="4" t="s">
        <v>53</v>
      </c>
      <c r="U28" s="5">
        <v>4.5</v>
      </c>
      <c r="V28" s="4" t="s">
        <v>144</v>
      </c>
      <c r="W28" s="38" t="s">
        <v>33</v>
      </c>
    </row>
    <row r="29" spans="1:23" ht="26.85" customHeight="1">
      <c r="A29" s="4" t="s">
        <v>24</v>
      </c>
      <c r="B29" s="4" t="s">
        <v>145</v>
      </c>
      <c r="C29" s="4" t="s">
        <v>26</v>
      </c>
      <c r="D29" s="4" t="s">
        <v>27</v>
      </c>
      <c r="E29" s="4" t="s">
        <v>27</v>
      </c>
      <c r="F29" s="4" t="s">
        <v>27</v>
      </c>
      <c r="G29" s="4" t="s">
        <v>28</v>
      </c>
      <c r="H29" s="4" t="s">
        <v>44</v>
      </c>
      <c r="I29" s="4" t="s">
        <v>44</v>
      </c>
      <c r="J29" s="4" t="s">
        <v>44</v>
      </c>
      <c r="K29" s="4" t="s">
        <v>51</v>
      </c>
      <c r="L29" s="36" t="s">
        <v>146</v>
      </c>
      <c r="M29" s="4" t="s">
        <v>32</v>
      </c>
      <c r="N29" s="4" t="s">
        <v>86</v>
      </c>
      <c r="O29" s="4" t="s">
        <v>86</v>
      </c>
      <c r="P29" s="4" t="s">
        <v>53</v>
      </c>
      <c r="Q29" s="4" t="s">
        <v>53</v>
      </c>
      <c r="R29" s="4" t="s">
        <v>53</v>
      </c>
      <c r="S29" s="4" t="s">
        <v>53</v>
      </c>
      <c r="T29" s="4" t="s">
        <v>34</v>
      </c>
      <c r="U29" s="5">
        <v>4.5</v>
      </c>
      <c r="V29" s="4" t="s">
        <v>147</v>
      </c>
      <c r="W29" s="38" t="s">
        <v>33</v>
      </c>
    </row>
    <row r="30" spans="1:23" ht="26.85" customHeight="1">
      <c r="A30" s="4" t="s">
        <v>24</v>
      </c>
      <c r="B30" s="4" t="s">
        <v>148</v>
      </c>
      <c r="C30" s="4" t="s">
        <v>65</v>
      </c>
      <c r="D30" s="4" t="s">
        <v>27</v>
      </c>
      <c r="E30" s="4" t="s">
        <v>27</v>
      </c>
      <c r="F30" s="4" t="s">
        <v>27</v>
      </c>
      <c r="G30" s="4" t="s">
        <v>149</v>
      </c>
      <c r="H30" s="4" t="s">
        <v>112</v>
      </c>
      <c r="I30" s="4" t="s">
        <v>112</v>
      </c>
      <c r="J30" s="4" t="s">
        <v>112</v>
      </c>
      <c r="K30" s="4" t="s">
        <v>51</v>
      </c>
      <c r="L30" s="36" t="s">
        <v>150</v>
      </c>
      <c r="M30" s="4" t="s">
        <v>120</v>
      </c>
      <c r="N30" s="4" t="s">
        <v>33</v>
      </c>
      <c r="O30" s="4" t="s">
        <v>86</v>
      </c>
      <c r="P30" s="4" t="s">
        <v>53</v>
      </c>
      <c r="Q30" s="4" t="s">
        <v>53</v>
      </c>
      <c r="R30" s="4" t="s">
        <v>34</v>
      </c>
      <c r="S30" s="4" t="s">
        <v>34</v>
      </c>
      <c r="T30" s="4" t="s">
        <v>33</v>
      </c>
      <c r="U30" s="5">
        <v>3</v>
      </c>
      <c r="V30" s="4" t="s">
        <v>151</v>
      </c>
      <c r="W30" s="38" t="s">
        <v>33</v>
      </c>
    </row>
    <row r="31" spans="1:23" ht="26.85" customHeight="1">
      <c r="A31" s="4" t="s">
        <v>24</v>
      </c>
      <c r="B31" s="4" t="s">
        <v>152</v>
      </c>
      <c r="C31" s="4" t="s">
        <v>37</v>
      </c>
      <c r="D31" s="4" t="s">
        <v>27</v>
      </c>
      <c r="E31" s="4" t="s">
        <v>27</v>
      </c>
      <c r="F31" s="4" t="s">
        <v>27</v>
      </c>
      <c r="G31" s="4" t="s">
        <v>153</v>
      </c>
      <c r="H31" s="4" t="s">
        <v>38</v>
      </c>
      <c r="I31" s="4" t="s">
        <v>38</v>
      </c>
      <c r="J31" s="4" t="s">
        <v>38</v>
      </c>
      <c r="K31" s="4" t="s">
        <v>154</v>
      </c>
      <c r="L31" s="36" t="s">
        <v>155</v>
      </c>
      <c r="M31" s="4" t="s">
        <v>32</v>
      </c>
      <c r="N31" s="4" t="s">
        <v>86</v>
      </c>
      <c r="O31" s="4" t="s">
        <v>86</v>
      </c>
      <c r="P31" s="4" t="s">
        <v>53</v>
      </c>
      <c r="Q31" s="4" t="s">
        <v>53</v>
      </c>
      <c r="R31" s="4" t="s">
        <v>53</v>
      </c>
      <c r="S31" s="4" t="s">
        <v>53</v>
      </c>
      <c r="T31" s="4" t="s">
        <v>34</v>
      </c>
      <c r="U31" s="5">
        <v>4.5</v>
      </c>
      <c r="V31" s="4" t="s">
        <v>156</v>
      </c>
      <c r="W31" s="38" t="s">
        <v>33</v>
      </c>
    </row>
    <row r="32" spans="1:23" ht="26.85" customHeight="1">
      <c r="A32" s="4" t="s">
        <v>24</v>
      </c>
      <c r="B32" s="4" t="s">
        <v>157</v>
      </c>
      <c r="C32" s="4" t="s">
        <v>26</v>
      </c>
      <c r="D32" s="4" t="s">
        <v>27</v>
      </c>
      <c r="E32" s="4" t="s">
        <v>27</v>
      </c>
      <c r="F32" s="4" t="s">
        <v>27</v>
      </c>
      <c r="G32" s="4" t="s">
        <v>43</v>
      </c>
      <c r="H32" s="4" t="s">
        <v>46</v>
      </c>
      <c r="I32" s="4" t="s">
        <v>46</v>
      </c>
      <c r="J32" s="4" t="s">
        <v>46</v>
      </c>
      <c r="K32" s="4" t="s">
        <v>28</v>
      </c>
      <c r="L32" s="36" t="s">
        <v>47</v>
      </c>
      <c r="M32" s="4" t="s">
        <v>48</v>
      </c>
      <c r="N32" s="4" t="s">
        <v>33</v>
      </c>
      <c r="O32" s="4" t="s">
        <v>33</v>
      </c>
      <c r="P32" s="4" t="s">
        <v>53</v>
      </c>
      <c r="Q32" s="4" t="s">
        <v>53</v>
      </c>
      <c r="R32" s="4" t="s">
        <v>53</v>
      </c>
      <c r="S32" s="4" t="s">
        <v>53</v>
      </c>
      <c r="T32" s="4" t="s">
        <v>34</v>
      </c>
      <c r="U32" s="5">
        <v>4.5</v>
      </c>
      <c r="V32" s="4" t="s">
        <v>158</v>
      </c>
      <c r="W32" s="38" t="s">
        <v>86</v>
      </c>
    </row>
    <row r="33" spans="1:23" ht="26.85" customHeight="1">
      <c r="A33" s="4" t="s">
        <v>24</v>
      </c>
      <c r="B33" s="4" t="s">
        <v>159</v>
      </c>
      <c r="C33" s="4" t="s">
        <v>26</v>
      </c>
      <c r="D33" s="4" t="s">
        <v>27</v>
      </c>
      <c r="E33" s="4" t="s">
        <v>27</v>
      </c>
      <c r="F33" s="4" t="s">
        <v>27</v>
      </c>
      <c r="G33" s="4" t="s">
        <v>43</v>
      </c>
      <c r="H33" s="4" t="s">
        <v>46</v>
      </c>
      <c r="I33" s="4" t="s">
        <v>46</v>
      </c>
      <c r="J33" s="4" t="s">
        <v>46</v>
      </c>
      <c r="K33" s="4" t="s">
        <v>28</v>
      </c>
      <c r="L33" s="36" t="s">
        <v>47</v>
      </c>
      <c r="M33" s="4" t="s">
        <v>48</v>
      </c>
      <c r="N33" s="4" t="s">
        <v>33</v>
      </c>
      <c r="O33" s="4" t="s">
        <v>33</v>
      </c>
      <c r="P33" s="4" t="s">
        <v>53</v>
      </c>
      <c r="Q33" s="4" t="s">
        <v>53</v>
      </c>
      <c r="R33" s="4" t="s">
        <v>34</v>
      </c>
      <c r="S33" s="4" t="s">
        <v>34</v>
      </c>
      <c r="T33" s="4" t="s">
        <v>53</v>
      </c>
      <c r="U33" s="5">
        <v>4</v>
      </c>
      <c r="V33" s="4" t="s">
        <v>160</v>
      </c>
      <c r="W33" s="38" t="s">
        <v>86</v>
      </c>
    </row>
    <row r="34" spans="1:23" ht="26.85" customHeight="1">
      <c r="A34" s="4" t="s">
        <v>24</v>
      </c>
      <c r="B34" s="4" t="s">
        <v>161</v>
      </c>
      <c r="C34" s="4" t="s">
        <v>26</v>
      </c>
      <c r="D34" s="4" t="s">
        <v>27</v>
      </c>
      <c r="E34" s="4" t="s">
        <v>27</v>
      </c>
      <c r="F34" s="4" t="s">
        <v>27</v>
      </c>
      <c r="G34" s="4" t="s">
        <v>83</v>
      </c>
      <c r="H34" s="4" t="s">
        <v>44</v>
      </c>
      <c r="I34" s="4" t="s">
        <v>44</v>
      </c>
      <c r="J34" s="4" t="s">
        <v>44</v>
      </c>
      <c r="K34" s="4" t="s">
        <v>28</v>
      </c>
      <c r="L34" s="36" t="s">
        <v>99</v>
      </c>
      <c r="M34" s="4" t="s">
        <v>32</v>
      </c>
      <c r="N34" s="4" t="s">
        <v>86</v>
      </c>
      <c r="O34" s="4" t="s">
        <v>33</v>
      </c>
      <c r="P34" s="4" t="s">
        <v>53</v>
      </c>
      <c r="Q34" s="4" t="s">
        <v>53</v>
      </c>
      <c r="R34" s="4" t="s">
        <v>34</v>
      </c>
      <c r="S34" s="4" t="s">
        <v>34</v>
      </c>
      <c r="T34" s="4" t="s">
        <v>34</v>
      </c>
      <c r="U34" s="5">
        <v>3.5</v>
      </c>
      <c r="V34" s="4" t="s">
        <v>162</v>
      </c>
      <c r="W34" s="38" t="s">
        <v>86</v>
      </c>
    </row>
    <row r="35" spans="1:23" ht="26.85" customHeight="1">
      <c r="A35" s="4" t="s">
        <v>24</v>
      </c>
      <c r="B35" s="4" t="s">
        <v>163</v>
      </c>
      <c r="C35" s="4" t="s">
        <v>26</v>
      </c>
      <c r="D35" s="4" t="s">
        <v>27</v>
      </c>
      <c r="E35" s="4" t="s">
        <v>27</v>
      </c>
      <c r="F35" s="4" t="s">
        <v>27</v>
      </c>
      <c r="G35" s="4" t="s">
        <v>83</v>
      </c>
      <c r="H35" s="4" t="s">
        <v>38</v>
      </c>
      <c r="I35" s="4" t="s">
        <v>38</v>
      </c>
      <c r="J35" s="4" t="s">
        <v>38</v>
      </c>
      <c r="K35" s="4" t="s">
        <v>164</v>
      </c>
      <c r="L35" s="36" t="s">
        <v>165</v>
      </c>
      <c r="M35" s="4" t="s">
        <v>32</v>
      </c>
      <c r="N35" s="4" t="s">
        <v>86</v>
      </c>
      <c r="O35" s="4" t="s">
        <v>33</v>
      </c>
      <c r="P35" s="4" t="s">
        <v>53</v>
      </c>
      <c r="Q35" s="4" t="s">
        <v>53</v>
      </c>
      <c r="R35" s="4" t="s">
        <v>53</v>
      </c>
      <c r="S35" s="4" t="s">
        <v>34</v>
      </c>
      <c r="T35" s="4" t="s">
        <v>34</v>
      </c>
      <c r="U35" s="5">
        <v>4</v>
      </c>
      <c r="V35" s="4" t="s">
        <v>166</v>
      </c>
      <c r="W35" s="38" t="s">
        <v>86</v>
      </c>
    </row>
    <row r="36" spans="1:23" ht="26.85" customHeight="1">
      <c r="A36" s="4" t="s">
        <v>24</v>
      </c>
      <c r="B36" s="4" t="s">
        <v>167</v>
      </c>
      <c r="C36" s="4" t="s">
        <v>26</v>
      </c>
      <c r="D36" s="4" t="s">
        <v>27</v>
      </c>
      <c r="E36" s="4" t="s">
        <v>27</v>
      </c>
      <c r="F36" s="4" t="s">
        <v>27</v>
      </c>
      <c r="G36" s="4" t="s">
        <v>28</v>
      </c>
      <c r="H36" s="4" t="s">
        <v>29</v>
      </c>
      <c r="I36" s="4" t="s">
        <v>29</v>
      </c>
      <c r="J36" s="4" t="s">
        <v>29</v>
      </c>
      <c r="K36" s="4" t="s">
        <v>168</v>
      </c>
      <c r="L36" s="36" t="s">
        <v>169</v>
      </c>
      <c r="M36" s="4" t="s">
        <v>32</v>
      </c>
      <c r="N36" s="4" t="s">
        <v>86</v>
      </c>
      <c r="O36" s="4" t="s">
        <v>33</v>
      </c>
      <c r="P36" s="4" t="s">
        <v>53</v>
      </c>
      <c r="Q36" s="4" t="s">
        <v>53</v>
      </c>
      <c r="R36" s="4" t="s">
        <v>53</v>
      </c>
      <c r="S36" s="4" t="s">
        <v>53</v>
      </c>
      <c r="T36" s="4" t="s">
        <v>34</v>
      </c>
      <c r="U36" s="5">
        <v>4.5</v>
      </c>
      <c r="V36" s="4" t="s">
        <v>170</v>
      </c>
      <c r="W36" s="38" t="s">
        <v>86</v>
      </c>
    </row>
    <row r="37" spans="1:23" ht="26.85" customHeight="1">
      <c r="A37" s="4" t="s">
        <v>24</v>
      </c>
      <c r="B37" s="4" t="s">
        <v>171</v>
      </c>
      <c r="C37" s="4" t="s">
        <v>26</v>
      </c>
      <c r="D37" s="4" t="s">
        <v>27</v>
      </c>
      <c r="E37" s="4" t="s">
        <v>27</v>
      </c>
      <c r="F37" s="4" t="s">
        <v>27</v>
      </c>
      <c r="G37" s="4" t="s">
        <v>28</v>
      </c>
      <c r="H37" s="4" t="s">
        <v>44</v>
      </c>
      <c r="I37" s="4" t="s">
        <v>44</v>
      </c>
      <c r="J37" s="4" t="s">
        <v>44</v>
      </c>
      <c r="K37" s="4" t="s">
        <v>51</v>
      </c>
      <c r="L37" s="36" t="s">
        <v>28</v>
      </c>
      <c r="M37" s="4" t="s">
        <v>32</v>
      </c>
      <c r="N37" s="4" t="s">
        <v>86</v>
      </c>
      <c r="O37" s="4" t="s">
        <v>33</v>
      </c>
      <c r="P37" s="4" t="s">
        <v>53</v>
      </c>
      <c r="Q37" s="4" t="s">
        <v>53</v>
      </c>
      <c r="R37" s="4" t="s">
        <v>53</v>
      </c>
      <c r="S37" s="4" t="s">
        <v>34</v>
      </c>
      <c r="T37" s="4" t="s">
        <v>34</v>
      </c>
      <c r="U37" s="5">
        <v>4</v>
      </c>
      <c r="V37" s="4" t="s">
        <v>172</v>
      </c>
      <c r="W37" s="38" t="s">
        <v>86</v>
      </c>
    </row>
    <row r="38" spans="1:23" ht="26.85" customHeight="1">
      <c r="A38" s="4" t="s">
        <v>24</v>
      </c>
      <c r="B38" s="4" t="s">
        <v>173</v>
      </c>
      <c r="C38" s="4" t="s">
        <v>26</v>
      </c>
      <c r="D38" s="4" t="s">
        <v>27</v>
      </c>
      <c r="E38" s="4" t="s">
        <v>27</v>
      </c>
      <c r="F38" s="4" t="s">
        <v>27</v>
      </c>
      <c r="G38" s="4" t="s">
        <v>28</v>
      </c>
      <c r="H38" s="4" t="s">
        <v>44</v>
      </c>
      <c r="I38" s="4" t="s">
        <v>44</v>
      </c>
      <c r="J38" s="4" t="s">
        <v>44</v>
      </c>
      <c r="K38" s="4" t="s">
        <v>51</v>
      </c>
      <c r="L38" s="36" t="s">
        <v>28</v>
      </c>
      <c r="M38" s="4" t="s">
        <v>32</v>
      </c>
      <c r="N38" s="4" t="s">
        <v>33</v>
      </c>
      <c r="O38" s="4" t="s">
        <v>33</v>
      </c>
      <c r="P38" s="4" t="s">
        <v>34</v>
      </c>
      <c r="Q38" s="4" t="s">
        <v>53</v>
      </c>
      <c r="R38" s="4" t="s">
        <v>53</v>
      </c>
      <c r="S38" s="4" t="s">
        <v>34</v>
      </c>
      <c r="T38" s="4" t="s">
        <v>34</v>
      </c>
      <c r="U38" s="5">
        <v>3.5</v>
      </c>
      <c r="V38" s="4" t="s">
        <v>174</v>
      </c>
      <c r="W38" s="38" t="s">
        <v>86</v>
      </c>
    </row>
    <row r="39" spans="1:23" ht="26.85" customHeight="1">
      <c r="A39" s="4" t="s">
        <v>24</v>
      </c>
      <c r="B39" s="4" t="s">
        <v>175</v>
      </c>
      <c r="C39" s="4" t="s">
        <v>26</v>
      </c>
      <c r="D39" s="4" t="s">
        <v>27</v>
      </c>
      <c r="E39" s="4" t="s">
        <v>27</v>
      </c>
      <c r="F39" s="4" t="s">
        <v>27</v>
      </c>
      <c r="G39" s="4" t="s">
        <v>83</v>
      </c>
      <c r="H39" s="4" t="s">
        <v>38</v>
      </c>
      <c r="I39" s="4" t="s">
        <v>38</v>
      </c>
      <c r="J39" s="4" t="s">
        <v>38</v>
      </c>
      <c r="K39" s="4" t="s">
        <v>164</v>
      </c>
      <c r="L39" s="36" t="s">
        <v>165</v>
      </c>
      <c r="M39" s="4" t="s">
        <v>32</v>
      </c>
      <c r="N39" s="4" t="s">
        <v>86</v>
      </c>
      <c r="O39" s="4" t="s">
        <v>33</v>
      </c>
      <c r="P39" s="4" t="s">
        <v>53</v>
      </c>
      <c r="Q39" s="4" t="s">
        <v>53</v>
      </c>
      <c r="R39" s="4" t="s">
        <v>53</v>
      </c>
      <c r="S39" s="4" t="s">
        <v>34</v>
      </c>
      <c r="T39" s="4" t="s">
        <v>34</v>
      </c>
      <c r="U39" s="5">
        <v>4</v>
      </c>
      <c r="V39" s="4" t="s">
        <v>176</v>
      </c>
      <c r="W39" s="38" t="s">
        <v>86</v>
      </c>
    </row>
    <row r="40" spans="1:23" ht="26.85" customHeight="1">
      <c r="A40" s="4" t="s">
        <v>24</v>
      </c>
      <c r="B40" s="4" t="s">
        <v>177</v>
      </c>
      <c r="C40" s="4" t="s">
        <v>26</v>
      </c>
      <c r="D40" s="4" t="s">
        <v>27</v>
      </c>
      <c r="E40" s="4" t="s">
        <v>27</v>
      </c>
      <c r="F40" s="4" t="s">
        <v>27</v>
      </c>
      <c r="G40" s="4" t="s">
        <v>83</v>
      </c>
      <c r="H40" s="4" t="s">
        <v>38</v>
      </c>
      <c r="I40" s="4" t="s">
        <v>38</v>
      </c>
      <c r="J40" s="4" t="s">
        <v>38</v>
      </c>
      <c r="K40" s="4" t="s">
        <v>178</v>
      </c>
      <c r="L40" s="36" t="s">
        <v>179</v>
      </c>
      <c r="M40" s="4" t="s">
        <v>32</v>
      </c>
      <c r="N40" s="4" t="s">
        <v>86</v>
      </c>
      <c r="O40" s="4" t="s">
        <v>33</v>
      </c>
      <c r="P40" s="4" t="s">
        <v>53</v>
      </c>
      <c r="Q40" s="4" t="s">
        <v>53</v>
      </c>
      <c r="R40" s="4" t="s">
        <v>53</v>
      </c>
      <c r="S40" s="4" t="s">
        <v>34</v>
      </c>
      <c r="T40" s="4" t="s">
        <v>53</v>
      </c>
      <c r="U40" s="5">
        <v>4.5</v>
      </c>
      <c r="V40" s="4" t="s">
        <v>180</v>
      </c>
      <c r="W40" s="38" t="s">
        <v>86</v>
      </c>
    </row>
    <row r="41" spans="1:23" ht="26.85" customHeight="1">
      <c r="A41" s="4" t="s">
        <v>24</v>
      </c>
      <c r="B41" s="4" t="s">
        <v>181</v>
      </c>
      <c r="C41" s="4" t="s">
        <v>26</v>
      </c>
      <c r="D41" s="4" t="s">
        <v>27</v>
      </c>
      <c r="E41" s="4" t="s">
        <v>27</v>
      </c>
      <c r="F41" s="4" t="s">
        <v>27</v>
      </c>
      <c r="G41" s="4" t="s">
        <v>182</v>
      </c>
      <c r="H41" s="4" t="s">
        <v>183</v>
      </c>
      <c r="I41" s="4" t="s">
        <v>183</v>
      </c>
      <c r="J41" s="4" t="s">
        <v>183</v>
      </c>
      <c r="K41" s="4" t="s">
        <v>51</v>
      </c>
      <c r="L41" s="36" t="s">
        <v>182</v>
      </c>
      <c r="M41" s="4" t="s">
        <v>32</v>
      </c>
      <c r="N41" s="4" t="s">
        <v>86</v>
      </c>
      <c r="O41" s="4" t="s">
        <v>33</v>
      </c>
      <c r="P41" s="4" t="s">
        <v>34</v>
      </c>
      <c r="Q41" s="4" t="s">
        <v>53</v>
      </c>
      <c r="R41" s="4" t="s">
        <v>53</v>
      </c>
      <c r="S41" s="4" t="s">
        <v>53</v>
      </c>
      <c r="T41" s="4" t="s">
        <v>34</v>
      </c>
      <c r="U41" s="5">
        <v>4</v>
      </c>
      <c r="V41" s="4" t="s">
        <v>184</v>
      </c>
      <c r="W41" s="38" t="s">
        <v>86</v>
      </c>
    </row>
    <row r="42" spans="1:23" ht="26.85" customHeight="1">
      <c r="A42" s="4" t="s">
        <v>24</v>
      </c>
      <c r="B42" s="4" t="s">
        <v>185</v>
      </c>
      <c r="C42" s="4" t="s">
        <v>26</v>
      </c>
      <c r="D42" s="4" t="s">
        <v>27</v>
      </c>
      <c r="E42" s="4" t="s">
        <v>27</v>
      </c>
      <c r="F42" s="4" t="s">
        <v>27</v>
      </c>
      <c r="G42" s="4" t="s">
        <v>43</v>
      </c>
      <c r="H42" s="4" t="s">
        <v>46</v>
      </c>
      <c r="I42" s="4" t="s">
        <v>46</v>
      </c>
      <c r="J42" s="4" t="s">
        <v>46</v>
      </c>
      <c r="K42" s="4" t="s">
        <v>116</v>
      </c>
      <c r="L42" s="36" t="s">
        <v>186</v>
      </c>
      <c r="M42" s="4" t="s">
        <v>48</v>
      </c>
      <c r="N42" s="4" t="s">
        <v>33</v>
      </c>
      <c r="O42" s="4" t="s">
        <v>33</v>
      </c>
      <c r="P42" s="4" t="s">
        <v>53</v>
      </c>
      <c r="Q42" s="4" t="s">
        <v>53</v>
      </c>
      <c r="R42" s="4" t="s">
        <v>53</v>
      </c>
      <c r="S42" s="4" t="s">
        <v>34</v>
      </c>
      <c r="T42" s="4" t="s">
        <v>34</v>
      </c>
      <c r="U42" s="5">
        <v>4</v>
      </c>
      <c r="V42" s="4" t="s">
        <v>187</v>
      </c>
      <c r="W42" s="38" t="s">
        <v>86</v>
      </c>
    </row>
    <row r="43" spans="1:23" ht="26.85" customHeight="1">
      <c r="A43" s="4" t="s">
        <v>24</v>
      </c>
      <c r="B43" s="4" t="s">
        <v>188</v>
      </c>
      <c r="C43" s="4" t="s">
        <v>26</v>
      </c>
      <c r="D43" s="4" t="s">
        <v>27</v>
      </c>
      <c r="E43" s="4" t="s">
        <v>27</v>
      </c>
      <c r="F43" s="4" t="s">
        <v>27</v>
      </c>
      <c r="G43" s="4" t="s">
        <v>43</v>
      </c>
      <c r="H43" s="4" t="s">
        <v>45</v>
      </c>
      <c r="I43" s="4" t="s">
        <v>45</v>
      </c>
      <c r="J43" s="4" t="s">
        <v>45</v>
      </c>
      <c r="K43" s="4" t="s">
        <v>51</v>
      </c>
      <c r="L43" s="36" t="s">
        <v>43</v>
      </c>
      <c r="M43" s="4" t="s">
        <v>48</v>
      </c>
      <c r="N43" s="4" t="s">
        <v>86</v>
      </c>
      <c r="O43" s="4" t="s">
        <v>33</v>
      </c>
      <c r="P43" s="4" t="s">
        <v>53</v>
      </c>
      <c r="Q43" s="4" t="s">
        <v>53</v>
      </c>
      <c r="R43" s="4" t="s">
        <v>53</v>
      </c>
      <c r="S43" s="4" t="s">
        <v>34</v>
      </c>
      <c r="T43" s="4" t="s">
        <v>34</v>
      </c>
      <c r="U43" s="5">
        <v>4</v>
      </c>
      <c r="V43" s="4" t="s">
        <v>189</v>
      </c>
      <c r="W43" s="38" t="s">
        <v>86</v>
      </c>
    </row>
    <row r="44" spans="1:23" ht="26.85" customHeight="1">
      <c r="A44" s="4" t="s">
        <v>24</v>
      </c>
      <c r="B44" s="4" t="s">
        <v>190</v>
      </c>
      <c r="C44" s="4" t="s">
        <v>65</v>
      </c>
      <c r="D44" s="4" t="s">
        <v>27</v>
      </c>
      <c r="E44" s="4" t="s">
        <v>27</v>
      </c>
      <c r="F44" s="4" t="s">
        <v>27</v>
      </c>
      <c r="G44" s="4" t="s">
        <v>191</v>
      </c>
      <c r="H44" s="4" t="s">
        <v>45</v>
      </c>
      <c r="I44" s="4" t="s">
        <v>45</v>
      </c>
      <c r="J44" s="4" t="s">
        <v>45</v>
      </c>
      <c r="K44" s="4" t="s">
        <v>51</v>
      </c>
      <c r="L44" s="36" t="s">
        <v>191</v>
      </c>
      <c r="M44" s="4" t="s">
        <v>32</v>
      </c>
      <c r="N44" s="4" t="s">
        <v>33</v>
      </c>
      <c r="O44" s="4" t="s">
        <v>33</v>
      </c>
      <c r="P44" s="4" t="s">
        <v>53</v>
      </c>
      <c r="Q44" s="4" t="s">
        <v>53</v>
      </c>
      <c r="R44" s="4" t="s">
        <v>53</v>
      </c>
      <c r="S44" s="4" t="s">
        <v>53</v>
      </c>
      <c r="T44" s="4" t="s">
        <v>53</v>
      </c>
      <c r="U44" s="5">
        <v>5</v>
      </c>
      <c r="V44" s="4" t="s">
        <v>192</v>
      </c>
      <c r="W44" s="38" t="s">
        <v>86</v>
      </c>
    </row>
    <row r="45" spans="1:23" ht="26.85" customHeight="1">
      <c r="A45" s="4" t="s">
        <v>24</v>
      </c>
      <c r="B45" s="4" t="s">
        <v>193</v>
      </c>
      <c r="C45" s="4" t="s">
        <v>26</v>
      </c>
      <c r="D45" s="4" t="s">
        <v>27</v>
      </c>
      <c r="E45" s="4" t="s">
        <v>27</v>
      </c>
      <c r="F45" s="4" t="s">
        <v>27</v>
      </c>
      <c r="G45" s="4" t="s">
        <v>28</v>
      </c>
      <c r="H45" s="4" t="s">
        <v>38</v>
      </c>
      <c r="I45" s="4" t="s">
        <v>38</v>
      </c>
      <c r="J45" s="4" t="s">
        <v>38</v>
      </c>
      <c r="K45" s="4" t="s">
        <v>89</v>
      </c>
      <c r="L45" s="36" t="s">
        <v>194</v>
      </c>
      <c r="M45" s="4" t="s">
        <v>32</v>
      </c>
      <c r="N45" s="4" t="s">
        <v>33</v>
      </c>
      <c r="O45" s="4" t="s">
        <v>33</v>
      </c>
      <c r="P45" s="4" t="s">
        <v>53</v>
      </c>
      <c r="Q45" s="4" t="s">
        <v>53</v>
      </c>
      <c r="R45" s="4" t="s">
        <v>34</v>
      </c>
      <c r="S45" s="4" t="s">
        <v>33</v>
      </c>
      <c r="T45" s="4" t="s">
        <v>34</v>
      </c>
      <c r="U45" s="5">
        <v>3</v>
      </c>
      <c r="V45" s="4" t="s">
        <v>195</v>
      </c>
      <c r="W45" s="38" t="s">
        <v>86</v>
      </c>
    </row>
    <row r="46" spans="1:23" ht="26.85" customHeight="1">
      <c r="A46" s="4" t="s">
        <v>24</v>
      </c>
      <c r="B46" s="4" t="s">
        <v>196</v>
      </c>
      <c r="C46" s="4" t="s">
        <v>26</v>
      </c>
      <c r="D46" s="4" t="s">
        <v>27</v>
      </c>
      <c r="E46" s="4" t="s">
        <v>71</v>
      </c>
      <c r="F46" s="4" t="s">
        <v>71</v>
      </c>
      <c r="G46" s="4" t="s">
        <v>182</v>
      </c>
      <c r="H46" s="4" t="s">
        <v>44</v>
      </c>
      <c r="I46" s="4" t="s">
        <v>44</v>
      </c>
      <c r="J46" s="4" t="s">
        <v>44</v>
      </c>
      <c r="K46" s="4" t="s">
        <v>28</v>
      </c>
      <c r="L46" s="36" t="s">
        <v>197</v>
      </c>
      <c r="M46" s="4" t="s">
        <v>76</v>
      </c>
      <c r="N46" s="4" t="s">
        <v>33</v>
      </c>
      <c r="O46" s="4" t="s">
        <v>198</v>
      </c>
      <c r="P46" s="4" t="s">
        <v>53</v>
      </c>
      <c r="Q46" s="4" t="s">
        <v>53</v>
      </c>
      <c r="R46" s="4" t="s">
        <v>53</v>
      </c>
      <c r="S46" s="4" t="s">
        <v>34</v>
      </c>
      <c r="T46" s="4" t="s">
        <v>34</v>
      </c>
      <c r="U46" s="5">
        <v>4</v>
      </c>
      <c r="V46" s="4" t="s">
        <v>199</v>
      </c>
      <c r="W46" s="38" t="s">
        <v>86</v>
      </c>
    </row>
    <row r="47" spans="1:23" ht="26.85" customHeight="1">
      <c r="A47" s="4" t="s">
        <v>24</v>
      </c>
      <c r="B47" s="4" t="s">
        <v>200</v>
      </c>
      <c r="C47" s="4" t="s">
        <v>26</v>
      </c>
      <c r="D47" s="4" t="s">
        <v>27</v>
      </c>
      <c r="E47" s="4" t="s">
        <v>27</v>
      </c>
      <c r="F47" s="4" t="s">
        <v>27</v>
      </c>
      <c r="G47" s="4" t="s">
        <v>43</v>
      </c>
      <c r="H47" s="4" t="s">
        <v>66</v>
      </c>
      <c r="I47" s="4" t="s">
        <v>66</v>
      </c>
      <c r="J47" s="4" t="s">
        <v>66</v>
      </c>
      <c r="K47" s="4" t="s">
        <v>201</v>
      </c>
      <c r="L47" s="36" t="s">
        <v>202</v>
      </c>
      <c r="M47" s="4" t="s">
        <v>48</v>
      </c>
      <c r="N47" s="4" t="s">
        <v>33</v>
      </c>
      <c r="O47" s="4" t="s">
        <v>33</v>
      </c>
      <c r="P47" s="4" t="s">
        <v>53</v>
      </c>
      <c r="Q47" s="4" t="s">
        <v>53</v>
      </c>
      <c r="R47" s="4" t="s">
        <v>34</v>
      </c>
      <c r="S47" s="4" t="s">
        <v>33</v>
      </c>
      <c r="T47" s="4" t="s">
        <v>33</v>
      </c>
      <c r="U47" s="5">
        <v>2.5</v>
      </c>
      <c r="V47" s="4" t="s">
        <v>203</v>
      </c>
      <c r="W47" s="38" t="s">
        <v>86</v>
      </c>
    </row>
    <row r="48" spans="1:23" ht="26.85" customHeight="1">
      <c r="A48" s="4" t="s">
        <v>24</v>
      </c>
      <c r="B48" s="4" t="s">
        <v>204</v>
      </c>
      <c r="C48" s="4" t="s">
        <v>37</v>
      </c>
      <c r="D48" s="4" t="s">
        <v>27</v>
      </c>
      <c r="E48" s="4" t="s">
        <v>27</v>
      </c>
      <c r="F48" s="4" t="s">
        <v>27</v>
      </c>
      <c r="G48" s="4" t="s">
        <v>43</v>
      </c>
      <c r="H48" s="4" t="s">
        <v>45</v>
      </c>
      <c r="I48" s="4" t="s">
        <v>44</v>
      </c>
      <c r="J48" s="4" t="s">
        <v>46</v>
      </c>
      <c r="K48" s="4" t="s">
        <v>205</v>
      </c>
      <c r="L48" s="36" t="s">
        <v>206</v>
      </c>
      <c r="M48" s="4" t="s">
        <v>48</v>
      </c>
      <c r="N48" s="4" t="s">
        <v>86</v>
      </c>
      <c r="O48" s="4" t="s">
        <v>198</v>
      </c>
      <c r="P48" s="4" t="s">
        <v>53</v>
      </c>
      <c r="Q48" s="4" t="s">
        <v>53</v>
      </c>
      <c r="R48" s="4" t="s">
        <v>53</v>
      </c>
      <c r="S48" s="4" t="s">
        <v>53</v>
      </c>
      <c r="T48" s="4" t="s">
        <v>34</v>
      </c>
      <c r="U48" s="5">
        <v>4.5</v>
      </c>
      <c r="V48" s="4" t="s">
        <v>207</v>
      </c>
      <c r="W48" s="38" t="s">
        <v>86</v>
      </c>
    </row>
    <row r="49" spans="1:23" ht="26.85" customHeight="1">
      <c r="A49" s="4" t="s">
        <v>24</v>
      </c>
      <c r="B49" s="4" t="s">
        <v>208</v>
      </c>
      <c r="C49" s="4" t="s">
        <v>65</v>
      </c>
      <c r="D49" s="4" t="s">
        <v>27</v>
      </c>
      <c r="E49" s="4" t="s">
        <v>27</v>
      </c>
      <c r="F49" s="4" t="s">
        <v>27</v>
      </c>
      <c r="G49" s="4" t="s">
        <v>153</v>
      </c>
      <c r="H49" s="4" t="s">
        <v>44</v>
      </c>
      <c r="I49" s="4" t="s">
        <v>44</v>
      </c>
      <c r="J49" s="4" t="s">
        <v>44</v>
      </c>
      <c r="K49" s="4" t="s">
        <v>51</v>
      </c>
      <c r="L49" s="36" t="s">
        <v>153</v>
      </c>
      <c r="M49" s="4" t="s">
        <v>32</v>
      </c>
      <c r="N49" s="4" t="s">
        <v>33</v>
      </c>
      <c r="O49" s="4" t="s">
        <v>86</v>
      </c>
      <c r="P49" s="4" t="s">
        <v>53</v>
      </c>
      <c r="Q49" s="4" t="s">
        <v>34</v>
      </c>
      <c r="R49" s="4" t="s">
        <v>53</v>
      </c>
      <c r="S49" s="4" t="s">
        <v>34</v>
      </c>
      <c r="T49" s="4" t="s">
        <v>53</v>
      </c>
      <c r="U49" s="5">
        <v>4</v>
      </c>
      <c r="V49" s="4" t="s">
        <v>209</v>
      </c>
      <c r="W49" s="38" t="s">
        <v>86</v>
      </c>
    </row>
    <row r="50" spans="1:23" ht="26.85" customHeight="1">
      <c r="A50" s="4" t="s">
        <v>24</v>
      </c>
      <c r="B50" s="4" t="s">
        <v>210</v>
      </c>
      <c r="C50" s="4" t="s">
        <v>65</v>
      </c>
      <c r="D50" s="4" t="s">
        <v>27</v>
      </c>
      <c r="E50" s="4" t="s">
        <v>27</v>
      </c>
      <c r="F50" s="4" t="s">
        <v>27</v>
      </c>
      <c r="G50" s="4" t="s">
        <v>211</v>
      </c>
      <c r="H50" s="4" t="s">
        <v>112</v>
      </c>
      <c r="I50" s="4" t="s">
        <v>112</v>
      </c>
      <c r="J50" s="4" t="s">
        <v>112</v>
      </c>
      <c r="K50" s="4" t="s">
        <v>51</v>
      </c>
      <c r="L50" s="36" t="s">
        <v>211</v>
      </c>
      <c r="M50" s="4" t="s">
        <v>32</v>
      </c>
      <c r="N50" s="4" t="s">
        <v>86</v>
      </c>
      <c r="O50" s="4" t="s">
        <v>33</v>
      </c>
      <c r="P50" s="4" t="s">
        <v>53</v>
      </c>
      <c r="Q50" s="4" t="s">
        <v>53</v>
      </c>
      <c r="R50" s="4" t="s">
        <v>53</v>
      </c>
      <c r="S50" s="4" t="s">
        <v>53</v>
      </c>
      <c r="T50" s="4" t="s">
        <v>34</v>
      </c>
      <c r="U50" s="5">
        <v>4.5</v>
      </c>
      <c r="V50" s="4" t="s">
        <v>212</v>
      </c>
      <c r="W50" s="38" t="s">
        <v>86</v>
      </c>
    </row>
    <row r="51" spans="1:23" ht="26.85" customHeight="1">
      <c r="A51" s="4" t="s">
        <v>24</v>
      </c>
      <c r="B51" s="4" t="s">
        <v>213</v>
      </c>
      <c r="C51" s="4" t="s">
        <v>65</v>
      </c>
      <c r="D51" s="4" t="s">
        <v>27</v>
      </c>
      <c r="E51" s="4" t="s">
        <v>27</v>
      </c>
      <c r="F51" s="4" t="s">
        <v>27</v>
      </c>
      <c r="G51" s="4" t="s">
        <v>153</v>
      </c>
      <c r="H51" s="4" t="s">
        <v>44</v>
      </c>
      <c r="I51" s="4" t="s">
        <v>44</v>
      </c>
      <c r="J51" s="4" t="s">
        <v>44</v>
      </c>
      <c r="K51" s="4" t="s">
        <v>51</v>
      </c>
      <c r="L51" s="36" t="s">
        <v>153</v>
      </c>
      <c r="M51" s="4" t="s">
        <v>32</v>
      </c>
      <c r="N51" s="4" t="s">
        <v>33</v>
      </c>
      <c r="O51" s="4" t="s">
        <v>33</v>
      </c>
      <c r="P51" s="4" t="s">
        <v>53</v>
      </c>
      <c r="Q51" s="4" t="s">
        <v>53</v>
      </c>
      <c r="R51" s="4" t="s">
        <v>34</v>
      </c>
      <c r="S51" s="4" t="s">
        <v>33</v>
      </c>
      <c r="T51" s="4" t="s">
        <v>33</v>
      </c>
      <c r="U51" s="5">
        <v>2.5</v>
      </c>
      <c r="V51" s="4" t="s">
        <v>214</v>
      </c>
      <c r="W51" s="38" t="s">
        <v>86</v>
      </c>
    </row>
    <row r="52" spans="1:23" ht="26.85" customHeight="1">
      <c r="A52" s="4" t="s">
        <v>24</v>
      </c>
      <c r="B52" s="4" t="s">
        <v>215</v>
      </c>
      <c r="C52" s="4" t="s">
        <v>65</v>
      </c>
      <c r="D52" s="4" t="s">
        <v>27</v>
      </c>
      <c r="E52" s="4" t="s">
        <v>27</v>
      </c>
      <c r="F52" s="4" t="s">
        <v>27</v>
      </c>
      <c r="G52" s="4" t="s">
        <v>216</v>
      </c>
      <c r="H52" s="4" t="s">
        <v>44</v>
      </c>
      <c r="I52" s="4" t="s">
        <v>44</v>
      </c>
      <c r="J52" s="4" t="s">
        <v>44</v>
      </c>
      <c r="K52" s="4" t="s">
        <v>51</v>
      </c>
      <c r="L52" s="36" t="s">
        <v>216</v>
      </c>
      <c r="M52" s="4" t="s">
        <v>32</v>
      </c>
      <c r="N52" s="4" t="s">
        <v>86</v>
      </c>
      <c r="O52" s="4" t="s">
        <v>33</v>
      </c>
      <c r="P52" s="4" t="s">
        <v>53</v>
      </c>
      <c r="Q52" s="4" t="s">
        <v>53</v>
      </c>
      <c r="R52" s="4" t="s">
        <v>53</v>
      </c>
      <c r="S52" s="4" t="s">
        <v>34</v>
      </c>
      <c r="T52" s="4" t="s">
        <v>34</v>
      </c>
      <c r="U52" s="5">
        <v>4</v>
      </c>
      <c r="V52" s="4" t="s">
        <v>217</v>
      </c>
      <c r="W52" s="38" t="s">
        <v>86</v>
      </c>
    </row>
    <row r="53" spans="1:23" ht="26.85" customHeight="1">
      <c r="A53" s="4" t="s">
        <v>24</v>
      </c>
      <c r="B53" s="4" t="s">
        <v>218</v>
      </c>
      <c r="C53" s="4" t="s">
        <v>65</v>
      </c>
      <c r="D53" s="4" t="s">
        <v>27</v>
      </c>
      <c r="E53" s="4" t="s">
        <v>27</v>
      </c>
      <c r="F53" s="4" t="s">
        <v>27</v>
      </c>
      <c r="G53" s="4" t="s">
        <v>191</v>
      </c>
      <c r="H53" s="4" t="s">
        <v>45</v>
      </c>
      <c r="I53" s="4" t="s">
        <v>45</v>
      </c>
      <c r="J53" s="4" t="s">
        <v>45</v>
      </c>
      <c r="K53" s="4" t="s">
        <v>51</v>
      </c>
      <c r="L53" s="36" t="s">
        <v>191</v>
      </c>
      <c r="M53" s="4" t="s">
        <v>48</v>
      </c>
      <c r="N53" s="4" t="s">
        <v>86</v>
      </c>
      <c r="O53" s="4" t="s">
        <v>33</v>
      </c>
      <c r="P53" s="4" t="s">
        <v>53</v>
      </c>
      <c r="Q53" s="4" t="s">
        <v>53</v>
      </c>
      <c r="R53" s="4" t="s">
        <v>53</v>
      </c>
      <c r="S53" s="4" t="s">
        <v>53</v>
      </c>
      <c r="T53" s="4" t="s">
        <v>34</v>
      </c>
      <c r="U53" s="5">
        <v>4.5</v>
      </c>
      <c r="V53" s="4" t="s">
        <v>219</v>
      </c>
      <c r="W53" s="38" t="s">
        <v>86</v>
      </c>
    </row>
    <row r="54" spans="1:23" ht="26.85" customHeight="1">
      <c r="A54" s="4" t="s">
        <v>24</v>
      </c>
      <c r="B54" s="4" t="s">
        <v>220</v>
      </c>
      <c r="C54" s="4" t="s">
        <v>26</v>
      </c>
      <c r="D54" s="4" t="s">
        <v>27</v>
      </c>
      <c r="E54" s="4" t="s">
        <v>71</v>
      </c>
      <c r="F54" s="4" t="s">
        <v>27</v>
      </c>
      <c r="G54" s="4" t="s">
        <v>182</v>
      </c>
      <c r="H54" s="4" t="s">
        <v>183</v>
      </c>
      <c r="I54" s="4" t="s">
        <v>44</v>
      </c>
      <c r="J54" s="4" t="s">
        <v>221</v>
      </c>
      <c r="K54" s="4" t="s">
        <v>116</v>
      </c>
      <c r="L54" s="36" t="s">
        <v>222</v>
      </c>
      <c r="M54" s="4" t="s">
        <v>76</v>
      </c>
      <c r="N54" s="4" t="s">
        <v>33</v>
      </c>
      <c r="O54" s="4" t="s">
        <v>33</v>
      </c>
      <c r="P54" s="4" t="s">
        <v>53</v>
      </c>
      <c r="Q54" s="4" t="s">
        <v>53</v>
      </c>
      <c r="R54" s="4" t="s">
        <v>53</v>
      </c>
      <c r="S54" s="4" t="s">
        <v>34</v>
      </c>
      <c r="T54" s="4" t="s">
        <v>53</v>
      </c>
      <c r="U54" s="5">
        <v>4.5</v>
      </c>
      <c r="V54" s="4" t="s">
        <v>223</v>
      </c>
      <c r="W54" s="38" t="s">
        <v>86</v>
      </c>
    </row>
    <row r="55" spans="1:23" ht="26.85" customHeight="1">
      <c r="A55" s="4" t="s">
        <v>24</v>
      </c>
      <c r="B55" s="4" t="s">
        <v>224</v>
      </c>
      <c r="C55" s="4" t="s">
        <v>26</v>
      </c>
      <c r="D55" s="4" t="s">
        <v>71</v>
      </c>
      <c r="E55" s="4" t="s">
        <v>71</v>
      </c>
      <c r="F55" s="4" t="s">
        <v>71</v>
      </c>
      <c r="G55" s="4" t="s">
        <v>182</v>
      </c>
      <c r="H55" s="4" t="s">
        <v>183</v>
      </c>
      <c r="I55" s="4" t="s">
        <v>183</v>
      </c>
      <c r="J55" s="4" t="s">
        <v>183</v>
      </c>
      <c r="K55" s="4" t="s">
        <v>51</v>
      </c>
      <c r="L55" s="36" t="s">
        <v>182</v>
      </c>
      <c r="M55" s="4" t="s">
        <v>76</v>
      </c>
      <c r="N55" s="4" t="s">
        <v>33</v>
      </c>
      <c r="O55" s="4" t="s">
        <v>86</v>
      </c>
      <c r="P55" s="4" t="s">
        <v>53</v>
      </c>
      <c r="Q55" s="4" t="s">
        <v>53</v>
      </c>
      <c r="R55" s="4" t="s">
        <v>53</v>
      </c>
      <c r="S55" s="4" t="s">
        <v>34</v>
      </c>
      <c r="T55" s="4" t="s">
        <v>53</v>
      </c>
      <c r="U55" s="5">
        <v>4.5</v>
      </c>
      <c r="V55" s="4" t="s">
        <v>225</v>
      </c>
      <c r="W55" s="38" t="s">
        <v>86</v>
      </c>
    </row>
    <row r="56" spans="1:23" ht="26.85" customHeight="1">
      <c r="A56" s="4" t="s">
        <v>24</v>
      </c>
      <c r="B56" s="4" t="s">
        <v>226</v>
      </c>
      <c r="C56" s="4" t="s">
        <v>26</v>
      </c>
      <c r="D56" s="4" t="s">
        <v>27</v>
      </c>
      <c r="E56" s="4" t="s">
        <v>27</v>
      </c>
      <c r="F56" s="4" t="s">
        <v>27</v>
      </c>
      <c r="G56" s="4" t="s">
        <v>28</v>
      </c>
      <c r="H56" s="4" t="s">
        <v>227</v>
      </c>
      <c r="I56" s="4" t="s">
        <v>227</v>
      </c>
      <c r="J56" s="4" t="s">
        <v>227</v>
      </c>
      <c r="K56" s="4" t="s">
        <v>228</v>
      </c>
      <c r="L56" s="36" t="s">
        <v>229</v>
      </c>
      <c r="M56" s="4" t="s">
        <v>32</v>
      </c>
      <c r="N56" s="4" t="s">
        <v>33</v>
      </c>
      <c r="O56" s="4" t="s">
        <v>198</v>
      </c>
      <c r="P56" s="4" t="s">
        <v>53</v>
      </c>
      <c r="Q56" s="4" t="s">
        <v>53</v>
      </c>
      <c r="R56" s="4" t="s">
        <v>53</v>
      </c>
      <c r="S56" s="4" t="s">
        <v>34</v>
      </c>
      <c r="T56" s="4" t="s">
        <v>34</v>
      </c>
      <c r="U56" s="5">
        <v>4</v>
      </c>
      <c r="V56" s="4" t="s">
        <v>230</v>
      </c>
      <c r="W56" s="38" t="s">
        <v>86</v>
      </c>
    </row>
    <row r="57" spans="1:23" ht="26.85" customHeight="1">
      <c r="A57" s="4" t="s">
        <v>24</v>
      </c>
      <c r="B57" s="4" t="s">
        <v>231</v>
      </c>
      <c r="C57" s="4" t="s">
        <v>65</v>
      </c>
      <c r="D57" s="4" t="s">
        <v>27</v>
      </c>
      <c r="E57" s="4" t="s">
        <v>27</v>
      </c>
      <c r="F57" s="4" t="s">
        <v>27</v>
      </c>
      <c r="G57" s="4" t="s">
        <v>216</v>
      </c>
      <c r="H57" s="4" t="s">
        <v>103</v>
      </c>
      <c r="I57" s="4" t="s">
        <v>103</v>
      </c>
      <c r="J57" s="4" t="s">
        <v>103</v>
      </c>
      <c r="K57" s="4" t="s">
        <v>149</v>
      </c>
      <c r="L57" s="36" t="s">
        <v>232</v>
      </c>
      <c r="M57" s="4" t="s">
        <v>76</v>
      </c>
      <c r="N57" s="4" t="s">
        <v>33</v>
      </c>
      <c r="O57" s="4" t="s">
        <v>198</v>
      </c>
      <c r="P57" s="4" t="s">
        <v>53</v>
      </c>
      <c r="Q57" s="4" t="s">
        <v>34</v>
      </c>
      <c r="R57" s="4" t="s">
        <v>34</v>
      </c>
      <c r="S57" s="4" t="s">
        <v>34</v>
      </c>
      <c r="T57" s="4" t="s">
        <v>34</v>
      </c>
      <c r="U57" s="5">
        <v>3</v>
      </c>
      <c r="V57" s="4" t="s">
        <v>233</v>
      </c>
      <c r="W57" s="38" t="s">
        <v>86</v>
      </c>
    </row>
    <row r="58" spans="1:23" ht="26.85" customHeight="1">
      <c r="A58" s="4" t="s">
        <v>24</v>
      </c>
      <c r="B58" s="4" t="s">
        <v>234</v>
      </c>
      <c r="C58" s="4" t="s">
        <v>65</v>
      </c>
      <c r="D58" s="4" t="s">
        <v>71</v>
      </c>
      <c r="E58" s="4" t="s">
        <v>27</v>
      </c>
      <c r="F58" s="4" t="s">
        <v>27</v>
      </c>
      <c r="G58" s="4" t="s">
        <v>149</v>
      </c>
      <c r="H58" s="4" t="s">
        <v>235</v>
      </c>
      <c r="I58" s="4" t="s">
        <v>236</v>
      </c>
      <c r="J58" s="4" t="s">
        <v>235</v>
      </c>
      <c r="K58" s="4" t="s">
        <v>237</v>
      </c>
      <c r="L58" s="36" t="s">
        <v>238</v>
      </c>
      <c r="M58" s="4" t="s">
        <v>76</v>
      </c>
      <c r="N58" s="4" t="s">
        <v>33</v>
      </c>
      <c r="O58" s="4" t="s">
        <v>86</v>
      </c>
      <c r="P58" s="4" t="s">
        <v>53</v>
      </c>
      <c r="Q58" s="4" t="s">
        <v>34</v>
      </c>
      <c r="R58" s="4" t="s">
        <v>53</v>
      </c>
      <c r="S58" s="4" t="s">
        <v>34</v>
      </c>
      <c r="T58" s="4" t="s">
        <v>34</v>
      </c>
      <c r="U58" s="5">
        <v>3.5</v>
      </c>
      <c r="V58" s="4" t="s">
        <v>239</v>
      </c>
      <c r="W58" s="38" t="s">
        <v>86</v>
      </c>
    </row>
    <row r="59" spans="1:23" ht="26.85" customHeight="1">
      <c r="A59" s="4" t="s">
        <v>24</v>
      </c>
      <c r="B59" s="4" t="s">
        <v>240</v>
      </c>
      <c r="C59" s="4" t="s">
        <v>26</v>
      </c>
      <c r="D59" s="4" t="s">
        <v>27</v>
      </c>
      <c r="E59" s="4" t="s">
        <v>27</v>
      </c>
      <c r="F59" s="4" t="s">
        <v>27</v>
      </c>
      <c r="G59" s="4" t="s">
        <v>28</v>
      </c>
      <c r="H59" s="4" t="s">
        <v>241</v>
      </c>
      <c r="I59" s="4" t="s">
        <v>103</v>
      </c>
      <c r="J59" s="4" t="s">
        <v>227</v>
      </c>
      <c r="K59" s="4" t="s">
        <v>228</v>
      </c>
      <c r="L59" s="36" t="s">
        <v>229</v>
      </c>
      <c r="M59" s="4" t="s">
        <v>32</v>
      </c>
      <c r="N59" s="4" t="s">
        <v>33</v>
      </c>
      <c r="O59" s="4" t="s">
        <v>33</v>
      </c>
      <c r="P59" s="4" t="s">
        <v>34</v>
      </c>
      <c r="Q59" s="4" t="s">
        <v>53</v>
      </c>
      <c r="R59" s="4" t="s">
        <v>34</v>
      </c>
      <c r="S59" s="4" t="s">
        <v>34</v>
      </c>
      <c r="T59" s="4" t="s">
        <v>34</v>
      </c>
      <c r="U59" s="5">
        <v>3</v>
      </c>
      <c r="V59" s="4" t="s">
        <v>242</v>
      </c>
      <c r="W59" s="38" t="s">
        <v>86</v>
      </c>
    </row>
    <row r="60" spans="1:23" ht="26.85" customHeight="1">
      <c r="A60" s="4" t="s">
        <v>24</v>
      </c>
      <c r="B60" s="4" t="s">
        <v>243</v>
      </c>
      <c r="C60" s="4" t="s">
        <v>26</v>
      </c>
      <c r="D60" s="4" t="s">
        <v>27</v>
      </c>
      <c r="E60" s="4" t="s">
        <v>27</v>
      </c>
      <c r="F60" s="4" t="s">
        <v>27</v>
      </c>
      <c r="G60" s="4" t="s">
        <v>28</v>
      </c>
      <c r="H60" s="4" t="s">
        <v>44</v>
      </c>
      <c r="I60" s="4" t="s">
        <v>44</v>
      </c>
      <c r="J60" s="4" t="s">
        <v>44</v>
      </c>
      <c r="K60" s="4" t="s">
        <v>83</v>
      </c>
      <c r="L60" s="36" t="s">
        <v>116</v>
      </c>
      <c r="M60" s="4" t="s">
        <v>32</v>
      </c>
      <c r="N60" s="4" t="s">
        <v>33</v>
      </c>
      <c r="O60" s="4" t="s">
        <v>86</v>
      </c>
      <c r="P60" s="4" t="s">
        <v>53</v>
      </c>
      <c r="Q60" s="4" t="s">
        <v>53</v>
      </c>
      <c r="R60" s="4" t="s">
        <v>53</v>
      </c>
      <c r="S60" s="4" t="s">
        <v>34</v>
      </c>
      <c r="T60" s="4" t="s">
        <v>34</v>
      </c>
      <c r="U60" s="5">
        <v>4</v>
      </c>
      <c r="V60" s="4" t="s">
        <v>244</v>
      </c>
      <c r="W60" s="38" t="s">
        <v>86</v>
      </c>
    </row>
    <row r="61" spans="1:23" ht="26.85" customHeight="1">
      <c r="A61" s="4" t="s">
        <v>24</v>
      </c>
      <c r="B61" s="4" t="s">
        <v>245</v>
      </c>
      <c r="C61" s="4" t="s">
        <v>26</v>
      </c>
      <c r="D61" s="4" t="s">
        <v>27</v>
      </c>
      <c r="E61" s="4" t="s">
        <v>27</v>
      </c>
      <c r="F61" s="4" t="s">
        <v>27</v>
      </c>
      <c r="G61" s="4" t="s">
        <v>28</v>
      </c>
      <c r="H61" s="4" t="s">
        <v>44</v>
      </c>
      <c r="I61" s="4" t="s">
        <v>45</v>
      </c>
      <c r="J61" s="4" t="s">
        <v>38</v>
      </c>
      <c r="K61" s="4" t="s">
        <v>89</v>
      </c>
      <c r="L61" s="36" t="s">
        <v>194</v>
      </c>
      <c r="M61" s="4" t="s">
        <v>32</v>
      </c>
      <c r="N61" s="4" t="s">
        <v>33</v>
      </c>
      <c r="O61" s="4" t="s">
        <v>33</v>
      </c>
      <c r="P61" s="4" t="s">
        <v>53</v>
      </c>
      <c r="Q61" s="4" t="s">
        <v>53</v>
      </c>
      <c r="R61" s="4" t="s">
        <v>53</v>
      </c>
      <c r="S61" s="4" t="s">
        <v>53</v>
      </c>
      <c r="T61" s="4" t="s">
        <v>34</v>
      </c>
      <c r="U61" s="5">
        <v>4.5</v>
      </c>
      <c r="V61" s="4" t="s">
        <v>246</v>
      </c>
      <c r="W61" s="38" t="s">
        <v>86</v>
      </c>
    </row>
    <row r="62" spans="1:23" ht="26.85" customHeight="1">
      <c r="A62" s="4" t="s">
        <v>24</v>
      </c>
      <c r="B62" s="4" t="s">
        <v>247</v>
      </c>
      <c r="C62" s="4" t="s">
        <v>26</v>
      </c>
      <c r="D62" s="4" t="s">
        <v>27</v>
      </c>
      <c r="E62" s="4" t="s">
        <v>27</v>
      </c>
      <c r="F62" s="4" t="s">
        <v>27</v>
      </c>
      <c r="G62" s="4" t="s">
        <v>28</v>
      </c>
      <c r="H62" s="4" t="s">
        <v>103</v>
      </c>
      <c r="I62" s="4" t="s">
        <v>103</v>
      </c>
      <c r="J62" s="4" t="s">
        <v>103</v>
      </c>
      <c r="K62" s="4" t="s">
        <v>248</v>
      </c>
      <c r="L62" s="36" t="s">
        <v>249</v>
      </c>
      <c r="M62" s="4" t="s">
        <v>32</v>
      </c>
      <c r="N62" s="4" t="s">
        <v>33</v>
      </c>
      <c r="O62" s="4" t="s">
        <v>33</v>
      </c>
      <c r="P62" s="4" t="s">
        <v>53</v>
      </c>
      <c r="Q62" s="4" t="s">
        <v>53</v>
      </c>
      <c r="R62" s="4" t="s">
        <v>53</v>
      </c>
      <c r="S62" s="4" t="s">
        <v>53</v>
      </c>
      <c r="T62" s="4" t="s">
        <v>34</v>
      </c>
      <c r="U62" s="5">
        <v>4.5</v>
      </c>
      <c r="V62" s="4" t="s">
        <v>250</v>
      </c>
      <c r="W62" s="38" t="s">
        <v>86</v>
      </c>
    </row>
    <row r="63" spans="1:23" ht="26.85" customHeight="1">
      <c r="A63" s="4" t="s">
        <v>24</v>
      </c>
      <c r="B63" s="4" t="s">
        <v>251</v>
      </c>
      <c r="C63" s="4" t="s">
        <v>37</v>
      </c>
      <c r="D63" s="4" t="s">
        <v>71</v>
      </c>
      <c r="E63" s="4" t="s">
        <v>71</v>
      </c>
      <c r="F63" s="4" t="s">
        <v>71</v>
      </c>
      <c r="G63" s="4" t="s">
        <v>252</v>
      </c>
      <c r="H63" s="4" t="s">
        <v>236</v>
      </c>
      <c r="I63" s="4" t="s">
        <v>236</v>
      </c>
      <c r="J63" s="4" t="s">
        <v>236</v>
      </c>
      <c r="K63" s="4" t="s">
        <v>51</v>
      </c>
      <c r="L63" s="36" t="s">
        <v>252</v>
      </c>
      <c r="M63" s="4" t="s">
        <v>120</v>
      </c>
      <c r="N63" s="4" t="s">
        <v>86</v>
      </c>
      <c r="O63" s="4" t="s">
        <v>86</v>
      </c>
      <c r="P63" s="4" t="s">
        <v>53</v>
      </c>
      <c r="Q63" s="4" t="s">
        <v>53</v>
      </c>
      <c r="R63" s="4" t="s">
        <v>53</v>
      </c>
      <c r="S63" s="4" t="s">
        <v>53</v>
      </c>
      <c r="T63" s="4" t="s">
        <v>34</v>
      </c>
      <c r="U63" s="5">
        <v>4.5</v>
      </c>
      <c r="V63" s="4" t="s">
        <v>253</v>
      </c>
      <c r="W63" s="38" t="s">
        <v>86</v>
      </c>
    </row>
    <row r="64" spans="1:23" ht="26.85" customHeight="1">
      <c r="A64" s="4" t="s">
        <v>24</v>
      </c>
      <c r="B64" s="4" t="s">
        <v>254</v>
      </c>
      <c r="C64" s="4" t="s">
        <v>65</v>
      </c>
      <c r="D64" s="4" t="s">
        <v>71</v>
      </c>
      <c r="E64" s="4" t="s">
        <v>71</v>
      </c>
      <c r="F64" s="4" t="s">
        <v>71</v>
      </c>
      <c r="G64" s="4" t="s">
        <v>252</v>
      </c>
      <c r="H64" s="4" t="s">
        <v>236</v>
      </c>
      <c r="I64" s="4" t="s">
        <v>236</v>
      </c>
      <c r="J64" s="4" t="s">
        <v>236</v>
      </c>
      <c r="K64" s="4" t="s">
        <v>51</v>
      </c>
      <c r="L64" s="36" t="s">
        <v>252</v>
      </c>
      <c r="M64" s="4" t="s">
        <v>120</v>
      </c>
      <c r="N64" s="4" t="s">
        <v>33</v>
      </c>
      <c r="O64" s="4" t="s">
        <v>86</v>
      </c>
      <c r="P64" s="4" t="s">
        <v>53</v>
      </c>
      <c r="Q64" s="4" t="s">
        <v>53</v>
      </c>
      <c r="R64" s="4" t="s">
        <v>53</v>
      </c>
      <c r="S64" s="4" t="s">
        <v>53</v>
      </c>
      <c r="T64" s="4" t="s">
        <v>34</v>
      </c>
      <c r="U64" s="5">
        <v>4.5</v>
      </c>
      <c r="V64" s="4" t="s">
        <v>255</v>
      </c>
      <c r="W64" s="38" t="s">
        <v>86</v>
      </c>
    </row>
    <row r="65" spans="1:23" ht="26.85" customHeight="1">
      <c r="A65" s="4" t="s">
        <v>24</v>
      </c>
      <c r="B65" s="4" t="s">
        <v>256</v>
      </c>
      <c r="C65" s="4" t="s">
        <v>26</v>
      </c>
      <c r="D65" s="4" t="s">
        <v>71</v>
      </c>
      <c r="E65" s="4" t="s">
        <v>71</v>
      </c>
      <c r="F65" s="4" t="s">
        <v>71</v>
      </c>
      <c r="G65" s="4" t="s">
        <v>182</v>
      </c>
      <c r="H65" s="4" t="s">
        <v>183</v>
      </c>
      <c r="I65" s="4" t="s">
        <v>183</v>
      </c>
      <c r="J65" s="4" t="s">
        <v>183</v>
      </c>
      <c r="K65" s="4" t="s">
        <v>51</v>
      </c>
      <c r="L65" s="36" t="s">
        <v>182</v>
      </c>
      <c r="M65" s="4" t="s">
        <v>76</v>
      </c>
      <c r="N65" s="4" t="s">
        <v>33</v>
      </c>
      <c r="O65" s="4" t="s">
        <v>86</v>
      </c>
      <c r="P65" s="4" t="s">
        <v>53</v>
      </c>
      <c r="Q65" s="4" t="s">
        <v>34</v>
      </c>
      <c r="R65" s="4" t="s">
        <v>53</v>
      </c>
      <c r="S65" s="4" t="s">
        <v>34</v>
      </c>
      <c r="T65" s="4" t="s">
        <v>34</v>
      </c>
      <c r="U65" s="5">
        <v>3.5</v>
      </c>
      <c r="V65" s="4" t="s">
        <v>257</v>
      </c>
      <c r="W65" s="38" t="s">
        <v>86</v>
      </c>
    </row>
    <row r="66" spans="1:23" ht="26.85" customHeight="1">
      <c r="A66" s="4" t="s">
        <v>24</v>
      </c>
      <c r="B66" s="4" t="s">
        <v>258</v>
      </c>
      <c r="C66" s="4" t="s">
        <v>65</v>
      </c>
      <c r="D66" s="4" t="s">
        <v>71</v>
      </c>
      <c r="E66" s="4" t="s">
        <v>71</v>
      </c>
      <c r="F66" s="4" t="s">
        <v>71</v>
      </c>
      <c r="G66" s="4" t="s">
        <v>182</v>
      </c>
      <c r="H66" s="4" t="s">
        <v>73</v>
      </c>
      <c r="I66" s="4" t="s">
        <v>73</v>
      </c>
      <c r="J66" s="4" t="s">
        <v>73</v>
      </c>
      <c r="K66" s="4" t="s">
        <v>259</v>
      </c>
      <c r="L66" s="36" t="s">
        <v>260</v>
      </c>
      <c r="M66" s="4" t="s">
        <v>76</v>
      </c>
      <c r="N66" s="4" t="s">
        <v>33</v>
      </c>
      <c r="O66" s="4" t="s">
        <v>198</v>
      </c>
      <c r="P66" s="4" t="s">
        <v>53</v>
      </c>
      <c r="Q66" s="4" t="s">
        <v>53</v>
      </c>
      <c r="R66" s="4" t="s">
        <v>53</v>
      </c>
      <c r="S66" s="4" t="s">
        <v>53</v>
      </c>
      <c r="T66" s="4" t="s">
        <v>53</v>
      </c>
      <c r="U66" s="5">
        <v>5</v>
      </c>
      <c r="V66" s="4" t="s">
        <v>261</v>
      </c>
      <c r="W66" s="38" t="s">
        <v>86</v>
      </c>
    </row>
    <row r="67" spans="1:23" ht="26.85" customHeight="1">
      <c r="A67" s="4" t="s">
        <v>24</v>
      </c>
      <c r="B67" s="4" t="s">
        <v>262</v>
      </c>
      <c r="C67" s="4" t="s">
        <v>26</v>
      </c>
      <c r="D67" s="4" t="s">
        <v>71</v>
      </c>
      <c r="E67" s="4" t="s">
        <v>71</v>
      </c>
      <c r="F67" s="4" t="s">
        <v>71</v>
      </c>
      <c r="G67" s="4" t="s">
        <v>182</v>
      </c>
      <c r="H67" s="4" t="s">
        <v>73</v>
      </c>
      <c r="I67" s="4" t="s">
        <v>73</v>
      </c>
      <c r="J67" s="4" t="s">
        <v>73</v>
      </c>
      <c r="K67" s="4" t="s">
        <v>252</v>
      </c>
      <c r="L67" s="36" t="s">
        <v>263</v>
      </c>
      <c r="M67" s="4" t="s">
        <v>76</v>
      </c>
      <c r="N67" s="4" t="s">
        <v>33</v>
      </c>
      <c r="O67" s="4" t="s">
        <v>86</v>
      </c>
      <c r="P67" s="4" t="s">
        <v>53</v>
      </c>
      <c r="Q67" s="4" t="s">
        <v>34</v>
      </c>
      <c r="R67" s="4" t="s">
        <v>53</v>
      </c>
      <c r="S67" s="4" t="s">
        <v>53</v>
      </c>
      <c r="T67" s="4" t="s">
        <v>34</v>
      </c>
      <c r="U67" s="5">
        <v>4</v>
      </c>
      <c r="V67" s="4" t="s">
        <v>264</v>
      </c>
      <c r="W67" s="38" t="s">
        <v>86</v>
      </c>
    </row>
    <row r="68" spans="1:23" ht="26.85" customHeight="1">
      <c r="A68" s="4" t="s">
        <v>24</v>
      </c>
      <c r="B68" s="4" t="s">
        <v>265</v>
      </c>
      <c r="C68" s="4" t="s">
        <v>65</v>
      </c>
      <c r="D68" s="4" t="s">
        <v>71</v>
      </c>
      <c r="E68" s="4" t="s">
        <v>71</v>
      </c>
      <c r="F68" s="4" t="s">
        <v>71</v>
      </c>
      <c r="G68" s="4" t="s">
        <v>252</v>
      </c>
      <c r="H68" s="4" t="s">
        <v>236</v>
      </c>
      <c r="I68" s="4" t="s">
        <v>236</v>
      </c>
      <c r="J68" s="4" t="s">
        <v>236</v>
      </c>
      <c r="K68" s="4" t="s">
        <v>237</v>
      </c>
      <c r="L68" s="36" t="s">
        <v>266</v>
      </c>
      <c r="M68" s="4" t="s">
        <v>120</v>
      </c>
      <c r="N68" s="4" t="s">
        <v>86</v>
      </c>
      <c r="O68" s="4" t="s">
        <v>86</v>
      </c>
      <c r="P68" s="4" t="s">
        <v>53</v>
      </c>
      <c r="Q68" s="4" t="s">
        <v>34</v>
      </c>
      <c r="R68" s="4" t="s">
        <v>53</v>
      </c>
      <c r="S68" s="4" t="s">
        <v>53</v>
      </c>
      <c r="T68" s="4" t="s">
        <v>34</v>
      </c>
      <c r="U68" s="5">
        <v>4</v>
      </c>
      <c r="V68" s="4" t="s">
        <v>267</v>
      </c>
      <c r="W68" s="38" t="s">
        <v>86</v>
      </c>
    </row>
    <row r="69" spans="1:23" ht="26.85" customHeight="1">
      <c r="A69" s="4" t="s">
        <v>24</v>
      </c>
      <c r="B69" s="4" t="s">
        <v>268</v>
      </c>
      <c r="C69" s="4" t="s">
        <v>26</v>
      </c>
      <c r="D69" s="4" t="s">
        <v>71</v>
      </c>
      <c r="E69" s="4" t="s">
        <v>71</v>
      </c>
      <c r="F69" s="4" t="s">
        <v>71</v>
      </c>
      <c r="G69" s="4" t="s">
        <v>72</v>
      </c>
      <c r="H69" s="4" t="s">
        <v>183</v>
      </c>
      <c r="I69" s="4" t="s">
        <v>236</v>
      </c>
      <c r="J69" s="4" t="s">
        <v>73</v>
      </c>
      <c r="K69" s="4" t="s">
        <v>263</v>
      </c>
      <c r="L69" s="36" t="s">
        <v>269</v>
      </c>
      <c r="M69" s="4" t="s">
        <v>76</v>
      </c>
      <c r="N69" s="4" t="s">
        <v>86</v>
      </c>
      <c r="O69" s="4" t="s">
        <v>86</v>
      </c>
      <c r="P69" s="4" t="s">
        <v>53</v>
      </c>
      <c r="Q69" s="4" t="s">
        <v>34</v>
      </c>
      <c r="R69" s="4" t="s">
        <v>53</v>
      </c>
      <c r="S69" s="4" t="s">
        <v>34</v>
      </c>
      <c r="T69" s="4" t="s">
        <v>53</v>
      </c>
      <c r="U69" s="5">
        <v>4</v>
      </c>
      <c r="V69" s="4" t="s">
        <v>270</v>
      </c>
      <c r="W69" s="38" t="s">
        <v>86</v>
      </c>
    </row>
    <row r="70" spans="1:23" ht="26.85" customHeight="1">
      <c r="A70" s="4" t="s">
        <v>24</v>
      </c>
      <c r="B70" s="4" t="s">
        <v>271</v>
      </c>
      <c r="C70" s="4" t="s">
        <v>26</v>
      </c>
      <c r="D70" s="4" t="s">
        <v>71</v>
      </c>
      <c r="E70" s="4" t="s">
        <v>71</v>
      </c>
      <c r="F70" s="4" t="s">
        <v>71</v>
      </c>
      <c r="G70" s="4" t="s">
        <v>72</v>
      </c>
      <c r="H70" s="4" t="s">
        <v>183</v>
      </c>
      <c r="I70" s="4" t="s">
        <v>183</v>
      </c>
      <c r="J70" s="4" t="s">
        <v>183</v>
      </c>
      <c r="K70" s="4" t="s">
        <v>51</v>
      </c>
      <c r="L70" s="36" t="s">
        <v>72</v>
      </c>
      <c r="M70" s="4" t="s">
        <v>76</v>
      </c>
      <c r="N70" s="4" t="s">
        <v>33</v>
      </c>
      <c r="O70" s="4" t="s">
        <v>86</v>
      </c>
      <c r="P70" s="4" t="s">
        <v>53</v>
      </c>
      <c r="Q70" s="4" t="s">
        <v>53</v>
      </c>
      <c r="R70" s="4" t="s">
        <v>53</v>
      </c>
      <c r="S70" s="4" t="s">
        <v>34</v>
      </c>
      <c r="T70" s="4" t="s">
        <v>34</v>
      </c>
      <c r="U70" s="5">
        <v>4</v>
      </c>
      <c r="V70" s="4" t="s">
        <v>272</v>
      </c>
      <c r="W70" s="38" t="s">
        <v>86</v>
      </c>
    </row>
    <row r="71" spans="1:23" ht="26.85" customHeight="1">
      <c r="A71" s="4" t="s">
        <v>24</v>
      </c>
      <c r="B71" s="4" t="s">
        <v>273</v>
      </c>
      <c r="C71" s="4" t="s">
        <v>26</v>
      </c>
      <c r="D71" s="4" t="s">
        <v>71</v>
      </c>
      <c r="E71" s="4" t="s">
        <v>71</v>
      </c>
      <c r="F71" s="4" t="s">
        <v>71</v>
      </c>
      <c r="G71" s="4" t="s">
        <v>72</v>
      </c>
      <c r="H71" s="4" t="s">
        <v>236</v>
      </c>
      <c r="I71" s="4" t="s">
        <v>73</v>
      </c>
      <c r="J71" s="4" t="s">
        <v>73</v>
      </c>
      <c r="K71" s="4" t="s">
        <v>237</v>
      </c>
      <c r="L71" s="36" t="s">
        <v>274</v>
      </c>
      <c r="M71" s="4" t="s">
        <v>76</v>
      </c>
      <c r="N71" s="4" t="s">
        <v>86</v>
      </c>
      <c r="O71" s="4" t="s">
        <v>33</v>
      </c>
      <c r="P71" s="4" t="s">
        <v>53</v>
      </c>
      <c r="Q71" s="4" t="s">
        <v>53</v>
      </c>
      <c r="R71" s="4" t="s">
        <v>53</v>
      </c>
      <c r="S71" s="4" t="s">
        <v>34</v>
      </c>
      <c r="T71" s="4" t="s">
        <v>53</v>
      </c>
      <c r="U71" s="5">
        <v>4.5</v>
      </c>
      <c r="V71" s="4" t="s">
        <v>275</v>
      </c>
      <c r="W71" s="38" t="s">
        <v>86</v>
      </c>
    </row>
    <row r="72" spans="1:23" ht="26.85" customHeight="1">
      <c r="A72" s="4" t="s">
        <v>24</v>
      </c>
      <c r="B72" s="4" t="s">
        <v>276</v>
      </c>
      <c r="C72" s="4" t="s">
        <v>26</v>
      </c>
      <c r="D72" s="4" t="s">
        <v>71</v>
      </c>
      <c r="E72" s="4" t="s">
        <v>71</v>
      </c>
      <c r="F72" s="4" t="s">
        <v>71</v>
      </c>
      <c r="G72" s="4" t="s">
        <v>182</v>
      </c>
      <c r="H72" s="4" t="s">
        <v>183</v>
      </c>
      <c r="I72" s="4" t="s">
        <v>183</v>
      </c>
      <c r="J72" s="4" t="s">
        <v>183</v>
      </c>
      <c r="K72" s="4" t="s">
        <v>51</v>
      </c>
      <c r="L72" s="36" t="s">
        <v>182</v>
      </c>
      <c r="M72" s="4" t="s">
        <v>76</v>
      </c>
      <c r="N72" s="4" t="s">
        <v>86</v>
      </c>
      <c r="O72" s="4" t="s">
        <v>33</v>
      </c>
      <c r="P72" s="4" t="s">
        <v>53</v>
      </c>
      <c r="Q72" s="4" t="s">
        <v>53</v>
      </c>
      <c r="R72" s="4" t="s">
        <v>53</v>
      </c>
      <c r="S72" s="4" t="s">
        <v>34</v>
      </c>
      <c r="T72" s="4" t="s">
        <v>34</v>
      </c>
      <c r="U72" s="5">
        <v>4</v>
      </c>
      <c r="V72" s="4" t="s">
        <v>277</v>
      </c>
      <c r="W72" s="38" t="s">
        <v>86</v>
      </c>
    </row>
    <row r="73" spans="1:23" ht="26.85" customHeight="1">
      <c r="A73" s="4" t="s">
        <v>24</v>
      </c>
      <c r="B73" s="4" t="s">
        <v>278</v>
      </c>
      <c r="C73" s="4" t="s">
        <v>26</v>
      </c>
      <c r="D73" s="4" t="s">
        <v>71</v>
      </c>
      <c r="E73" s="4" t="s">
        <v>71</v>
      </c>
      <c r="F73" s="4" t="s">
        <v>71</v>
      </c>
      <c r="G73" s="4" t="s">
        <v>252</v>
      </c>
      <c r="H73" s="4" t="s">
        <v>236</v>
      </c>
      <c r="I73" s="4" t="s">
        <v>236</v>
      </c>
      <c r="J73" s="4" t="s">
        <v>236</v>
      </c>
      <c r="K73" s="4" t="s">
        <v>51</v>
      </c>
      <c r="L73" s="36" t="s">
        <v>252</v>
      </c>
      <c r="M73" s="4" t="s">
        <v>76</v>
      </c>
      <c r="N73" s="4" t="s">
        <v>86</v>
      </c>
      <c r="O73" s="4" t="s">
        <v>33</v>
      </c>
      <c r="P73" s="4" t="s">
        <v>53</v>
      </c>
      <c r="Q73" s="4" t="s">
        <v>34</v>
      </c>
      <c r="R73" s="4" t="s">
        <v>53</v>
      </c>
      <c r="S73" s="4" t="s">
        <v>34</v>
      </c>
      <c r="T73" s="4" t="s">
        <v>34</v>
      </c>
      <c r="U73" s="5">
        <v>3.5</v>
      </c>
      <c r="V73" s="4" t="s">
        <v>279</v>
      </c>
      <c r="W73" s="38" t="s">
        <v>86</v>
      </c>
    </row>
    <row r="74" spans="1:23" ht="26.85" customHeight="1">
      <c r="A74" s="4" t="s">
        <v>24</v>
      </c>
      <c r="B74" s="4" t="s">
        <v>280</v>
      </c>
      <c r="C74" s="4" t="s">
        <v>26</v>
      </c>
      <c r="D74" s="4" t="s">
        <v>71</v>
      </c>
      <c r="E74" s="4" t="s">
        <v>71</v>
      </c>
      <c r="F74" s="4" t="s">
        <v>71</v>
      </c>
      <c r="G74" s="4" t="s">
        <v>72</v>
      </c>
      <c r="H74" s="4" t="s">
        <v>183</v>
      </c>
      <c r="I74" s="4" t="s">
        <v>183</v>
      </c>
      <c r="J74" s="4" t="s">
        <v>183</v>
      </c>
      <c r="K74" s="4" t="s">
        <v>51</v>
      </c>
      <c r="L74" s="36" t="s">
        <v>72</v>
      </c>
      <c r="M74" s="4" t="s">
        <v>76</v>
      </c>
      <c r="N74" s="4" t="s">
        <v>86</v>
      </c>
      <c r="O74" s="4" t="s">
        <v>33</v>
      </c>
      <c r="P74" s="4" t="s">
        <v>53</v>
      </c>
      <c r="Q74" s="4" t="s">
        <v>53</v>
      </c>
      <c r="R74" s="4" t="s">
        <v>53</v>
      </c>
      <c r="S74" s="4" t="s">
        <v>53</v>
      </c>
      <c r="T74" s="4" t="s">
        <v>53</v>
      </c>
      <c r="U74" s="5">
        <v>5</v>
      </c>
      <c r="V74" s="4" t="s">
        <v>281</v>
      </c>
      <c r="W74" s="38" t="s">
        <v>86</v>
      </c>
    </row>
    <row r="75" spans="1:23" ht="26.85" customHeight="1">
      <c r="A75" s="4" t="s">
        <v>24</v>
      </c>
      <c r="B75" s="4" t="s">
        <v>282</v>
      </c>
      <c r="C75" s="4" t="s">
        <v>26</v>
      </c>
      <c r="D75" s="4" t="s">
        <v>71</v>
      </c>
      <c r="E75" s="4" t="s">
        <v>71</v>
      </c>
      <c r="F75" s="4" t="s">
        <v>71</v>
      </c>
      <c r="G75" s="4" t="s">
        <v>182</v>
      </c>
      <c r="H75" s="4" t="s">
        <v>183</v>
      </c>
      <c r="I75" s="4" t="s">
        <v>183</v>
      </c>
      <c r="J75" s="4" t="s">
        <v>183</v>
      </c>
      <c r="K75" s="4" t="s">
        <v>51</v>
      </c>
      <c r="L75" s="36" t="s">
        <v>182</v>
      </c>
      <c r="M75" s="4" t="s">
        <v>76</v>
      </c>
      <c r="N75" s="4" t="s">
        <v>86</v>
      </c>
      <c r="O75" s="4" t="s">
        <v>33</v>
      </c>
      <c r="P75" s="4" t="s">
        <v>53</v>
      </c>
      <c r="Q75" s="4" t="s">
        <v>53</v>
      </c>
      <c r="R75" s="4" t="s">
        <v>53</v>
      </c>
      <c r="S75" s="4" t="s">
        <v>34</v>
      </c>
      <c r="T75" s="4" t="s">
        <v>34</v>
      </c>
      <c r="U75" s="5">
        <v>4</v>
      </c>
      <c r="V75" s="4" t="s">
        <v>283</v>
      </c>
      <c r="W75" s="38" t="s">
        <v>86</v>
      </c>
    </row>
    <row r="76" spans="1:23" ht="26.85" customHeight="1">
      <c r="A76" s="4" t="s">
        <v>24</v>
      </c>
      <c r="B76" s="4" t="s">
        <v>284</v>
      </c>
      <c r="C76" s="4" t="s">
        <v>26</v>
      </c>
      <c r="D76" s="4" t="s">
        <v>71</v>
      </c>
      <c r="E76" s="4" t="s">
        <v>71</v>
      </c>
      <c r="F76" s="4" t="s">
        <v>71</v>
      </c>
      <c r="G76" s="4" t="s">
        <v>182</v>
      </c>
      <c r="H76" s="4" t="s">
        <v>183</v>
      </c>
      <c r="I76" s="4" t="s">
        <v>183</v>
      </c>
      <c r="J76" s="4" t="s">
        <v>183</v>
      </c>
      <c r="K76" s="4" t="s">
        <v>51</v>
      </c>
      <c r="L76" s="36" t="s">
        <v>182</v>
      </c>
      <c r="M76" s="4" t="s">
        <v>76</v>
      </c>
      <c r="N76" s="4" t="s">
        <v>86</v>
      </c>
      <c r="O76" s="4" t="s">
        <v>33</v>
      </c>
      <c r="P76" s="4" t="s">
        <v>53</v>
      </c>
      <c r="Q76" s="4" t="s">
        <v>53</v>
      </c>
      <c r="R76" s="4" t="s">
        <v>53</v>
      </c>
      <c r="S76" s="4" t="s">
        <v>34</v>
      </c>
      <c r="T76" s="4" t="s">
        <v>53</v>
      </c>
      <c r="U76" s="5">
        <v>4.5</v>
      </c>
      <c r="V76" s="4" t="s">
        <v>285</v>
      </c>
      <c r="W76" s="38" t="s">
        <v>86</v>
      </c>
    </row>
    <row r="77" spans="1:23" ht="26.85" customHeight="1">
      <c r="A77" s="4" t="s">
        <v>24</v>
      </c>
      <c r="B77" s="4" t="s">
        <v>286</v>
      </c>
      <c r="C77" s="4" t="s">
        <v>26</v>
      </c>
      <c r="D77" s="4" t="s">
        <v>71</v>
      </c>
      <c r="E77" s="4" t="s">
        <v>71</v>
      </c>
      <c r="F77" s="4" t="s">
        <v>71</v>
      </c>
      <c r="G77" s="4" t="s">
        <v>182</v>
      </c>
      <c r="H77" s="4" t="s">
        <v>183</v>
      </c>
      <c r="I77" s="4" t="s">
        <v>183</v>
      </c>
      <c r="J77" s="4" t="s">
        <v>183</v>
      </c>
      <c r="K77" s="4" t="s">
        <v>51</v>
      </c>
      <c r="L77" s="36" t="s">
        <v>182</v>
      </c>
      <c r="M77" s="4" t="s">
        <v>76</v>
      </c>
      <c r="N77" s="4" t="s">
        <v>86</v>
      </c>
      <c r="O77" s="4" t="s">
        <v>33</v>
      </c>
      <c r="P77" s="4" t="s">
        <v>53</v>
      </c>
      <c r="Q77" s="4" t="s">
        <v>53</v>
      </c>
      <c r="R77" s="4" t="s">
        <v>53</v>
      </c>
      <c r="S77" s="4" t="s">
        <v>34</v>
      </c>
      <c r="T77" s="4" t="s">
        <v>53</v>
      </c>
      <c r="U77" s="5">
        <v>4.5</v>
      </c>
      <c r="V77" s="4" t="s">
        <v>287</v>
      </c>
      <c r="W77" s="38" t="s">
        <v>86</v>
      </c>
    </row>
    <row r="78" spans="1:23" ht="26.85" customHeight="1">
      <c r="A78" s="4" t="s">
        <v>24</v>
      </c>
      <c r="B78" s="4" t="s">
        <v>288</v>
      </c>
      <c r="C78" s="4" t="s">
        <v>26</v>
      </c>
      <c r="D78" s="4" t="s">
        <v>71</v>
      </c>
      <c r="E78" s="4" t="s">
        <v>71</v>
      </c>
      <c r="F78" s="4" t="s">
        <v>71</v>
      </c>
      <c r="G78" s="4" t="s">
        <v>182</v>
      </c>
      <c r="H78" s="4" t="s">
        <v>183</v>
      </c>
      <c r="I78" s="4" t="s">
        <v>183</v>
      </c>
      <c r="J78" s="4" t="s">
        <v>183</v>
      </c>
      <c r="K78" s="4" t="s">
        <v>51</v>
      </c>
      <c r="L78" s="36" t="s">
        <v>182</v>
      </c>
      <c r="M78" s="4" t="s">
        <v>76</v>
      </c>
      <c r="N78" s="4" t="s">
        <v>86</v>
      </c>
      <c r="O78" s="4" t="s">
        <v>33</v>
      </c>
      <c r="P78" s="4" t="s">
        <v>53</v>
      </c>
      <c r="Q78" s="4" t="s">
        <v>53</v>
      </c>
      <c r="R78" s="4" t="s">
        <v>53</v>
      </c>
      <c r="S78" s="4" t="s">
        <v>53</v>
      </c>
      <c r="T78" s="4" t="s">
        <v>53</v>
      </c>
      <c r="U78" s="5">
        <v>5</v>
      </c>
      <c r="V78" s="4" t="s">
        <v>289</v>
      </c>
      <c r="W78" s="38" t="s">
        <v>86</v>
      </c>
    </row>
    <row r="79" spans="1:23" ht="26.85" customHeight="1">
      <c r="A79" s="4" t="s">
        <v>24</v>
      </c>
      <c r="B79" s="4" t="s">
        <v>290</v>
      </c>
      <c r="C79" s="4" t="s">
        <v>26</v>
      </c>
      <c r="D79" s="4" t="s">
        <v>71</v>
      </c>
      <c r="E79" s="4" t="s">
        <v>71</v>
      </c>
      <c r="F79" s="4" t="s">
        <v>71</v>
      </c>
      <c r="G79" s="4" t="s">
        <v>182</v>
      </c>
      <c r="H79" s="4" t="s">
        <v>183</v>
      </c>
      <c r="I79" s="4" t="s">
        <v>183</v>
      </c>
      <c r="J79" s="4" t="s">
        <v>183</v>
      </c>
      <c r="K79" s="4" t="s">
        <v>72</v>
      </c>
      <c r="L79" s="36" t="s">
        <v>291</v>
      </c>
      <c r="M79" s="4" t="s">
        <v>76</v>
      </c>
      <c r="N79" s="4" t="s">
        <v>86</v>
      </c>
      <c r="O79" s="4" t="s">
        <v>33</v>
      </c>
      <c r="P79" s="4" t="s">
        <v>53</v>
      </c>
      <c r="Q79" s="4" t="s">
        <v>53</v>
      </c>
      <c r="R79" s="4" t="s">
        <v>53</v>
      </c>
      <c r="S79" s="4" t="s">
        <v>53</v>
      </c>
      <c r="T79" s="4" t="s">
        <v>53</v>
      </c>
      <c r="U79" s="5">
        <v>5</v>
      </c>
      <c r="V79" s="4" t="s">
        <v>292</v>
      </c>
      <c r="W79" s="38" t="s">
        <v>86</v>
      </c>
    </row>
    <row r="80" spans="1:23" ht="26.85" customHeight="1">
      <c r="A80" s="4" t="s">
        <v>24</v>
      </c>
      <c r="B80" s="4" t="s">
        <v>293</v>
      </c>
      <c r="C80" s="4" t="s">
        <v>26</v>
      </c>
      <c r="D80" s="4" t="s">
        <v>71</v>
      </c>
      <c r="E80" s="4" t="s">
        <v>71</v>
      </c>
      <c r="F80" s="4" t="s">
        <v>71</v>
      </c>
      <c r="G80" s="4" t="s">
        <v>182</v>
      </c>
      <c r="H80" s="4" t="s">
        <v>183</v>
      </c>
      <c r="I80" s="4" t="s">
        <v>183</v>
      </c>
      <c r="J80" s="4" t="s">
        <v>183</v>
      </c>
      <c r="K80" s="4" t="s">
        <v>51</v>
      </c>
      <c r="L80" s="36" t="s">
        <v>182</v>
      </c>
      <c r="M80" s="4" t="s">
        <v>76</v>
      </c>
      <c r="N80" s="4" t="s">
        <v>86</v>
      </c>
      <c r="O80" s="4" t="s">
        <v>86</v>
      </c>
      <c r="P80" s="4" t="s">
        <v>33</v>
      </c>
      <c r="Q80" s="4" t="s">
        <v>53</v>
      </c>
      <c r="R80" s="4" t="s">
        <v>53</v>
      </c>
      <c r="S80" s="4" t="s">
        <v>53</v>
      </c>
      <c r="T80" s="4" t="s">
        <v>53</v>
      </c>
      <c r="U80" s="5">
        <v>4</v>
      </c>
      <c r="V80" s="4" t="s">
        <v>295</v>
      </c>
      <c r="W80" s="38" t="s">
        <v>86</v>
      </c>
    </row>
    <row r="81" spans="1:23" ht="26.85" customHeight="1">
      <c r="A81" s="4" t="s">
        <v>24</v>
      </c>
      <c r="B81" s="4" t="s">
        <v>296</v>
      </c>
      <c r="C81" s="4" t="s">
        <v>65</v>
      </c>
      <c r="D81" s="4" t="s">
        <v>71</v>
      </c>
      <c r="E81" s="4" t="s">
        <v>71</v>
      </c>
      <c r="F81" s="4" t="s">
        <v>71</v>
      </c>
      <c r="G81" s="4" t="s">
        <v>237</v>
      </c>
      <c r="H81" s="4" t="s">
        <v>236</v>
      </c>
      <c r="I81" s="4" t="s">
        <v>236</v>
      </c>
      <c r="J81" s="4" t="s">
        <v>236</v>
      </c>
      <c r="K81" s="4" t="s">
        <v>51</v>
      </c>
      <c r="L81" s="36" t="s">
        <v>237</v>
      </c>
      <c r="M81" s="4" t="s">
        <v>76</v>
      </c>
      <c r="N81" s="4" t="s">
        <v>33</v>
      </c>
      <c r="O81" s="4" t="s">
        <v>198</v>
      </c>
      <c r="P81" s="4" t="s">
        <v>53</v>
      </c>
      <c r="Q81" s="4" t="s">
        <v>53</v>
      </c>
      <c r="R81" s="4" t="s">
        <v>53</v>
      </c>
      <c r="S81" s="4" t="s">
        <v>34</v>
      </c>
      <c r="T81" s="4" t="s">
        <v>34</v>
      </c>
      <c r="U81" s="5">
        <v>4</v>
      </c>
      <c r="V81" s="4" t="s">
        <v>297</v>
      </c>
      <c r="W81" s="38" t="s">
        <v>86</v>
      </c>
    </row>
    <row r="82" spans="1:23" ht="26.85" customHeight="1">
      <c r="A82" s="4" t="s">
        <v>24</v>
      </c>
      <c r="B82" s="4" t="s">
        <v>298</v>
      </c>
      <c r="C82" s="4" t="s">
        <v>65</v>
      </c>
      <c r="D82" s="4" t="s">
        <v>71</v>
      </c>
      <c r="E82" s="4" t="s">
        <v>71</v>
      </c>
      <c r="F82" s="4" t="s">
        <v>71</v>
      </c>
      <c r="G82" s="4" t="s">
        <v>237</v>
      </c>
      <c r="H82" s="4" t="s">
        <v>236</v>
      </c>
      <c r="I82" s="4" t="s">
        <v>236</v>
      </c>
      <c r="J82" s="4" t="s">
        <v>236</v>
      </c>
      <c r="K82" s="4" t="s">
        <v>51</v>
      </c>
      <c r="L82" s="36" t="s">
        <v>237</v>
      </c>
      <c r="M82" s="4" t="s">
        <v>76</v>
      </c>
      <c r="N82" s="4" t="s">
        <v>33</v>
      </c>
      <c r="O82" s="4" t="s">
        <v>33</v>
      </c>
      <c r="P82" s="4" t="s">
        <v>53</v>
      </c>
      <c r="Q82" s="4" t="s">
        <v>53</v>
      </c>
      <c r="R82" s="4" t="s">
        <v>34</v>
      </c>
      <c r="S82" s="4" t="s">
        <v>34</v>
      </c>
      <c r="T82" s="4" t="s">
        <v>33</v>
      </c>
      <c r="U82" s="5">
        <v>3</v>
      </c>
      <c r="V82" s="4" t="s">
        <v>299</v>
      </c>
      <c r="W82" s="38" t="s">
        <v>86</v>
      </c>
    </row>
    <row r="83" spans="1:23" ht="26.85" customHeight="1">
      <c r="A83" s="4" t="s">
        <v>24</v>
      </c>
      <c r="B83" s="4" t="s">
        <v>300</v>
      </c>
      <c r="C83" s="4" t="s">
        <v>26</v>
      </c>
      <c r="D83" s="4" t="s">
        <v>71</v>
      </c>
      <c r="E83" s="4" t="s">
        <v>71</v>
      </c>
      <c r="F83" s="4" t="s">
        <v>71</v>
      </c>
      <c r="G83" s="4" t="s">
        <v>237</v>
      </c>
      <c r="H83" s="4" t="s">
        <v>236</v>
      </c>
      <c r="I83" s="4" t="s">
        <v>236</v>
      </c>
      <c r="J83" s="4" t="s">
        <v>236</v>
      </c>
      <c r="K83" s="4" t="s">
        <v>51</v>
      </c>
      <c r="L83" s="36" t="s">
        <v>237</v>
      </c>
      <c r="M83" s="4" t="s">
        <v>76</v>
      </c>
      <c r="N83" s="4" t="s">
        <v>86</v>
      </c>
      <c r="O83" s="4" t="s">
        <v>33</v>
      </c>
      <c r="P83" s="4" t="s">
        <v>53</v>
      </c>
      <c r="Q83" s="4" t="s">
        <v>53</v>
      </c>
      <c r="R83" s="4" t="s">
        <v>53</v>
      </c>
      <c r="S83" s="4" t="s">
        <v>34</v>
      </c>
      <c r="T83" s="4" t="s">
        <v>34</v>
      </c>
      <c r="U83" s="5">
        <v>4</v>
      </c>
      <c r="V83" s="4" t="s">
        <v>301</v>
      </c>
      <c r="W83" s="38" t="s">
        <v>86</v>
      </c>
    </row>
    <row r="84" spans="1:23" ht="26.85" customHeight="1">
      <c r="A84" s="4" t="s">
        <v>24</v>
      </c>
      <c r="B84" s="4" t="s">
        <v>302</v>
      </c>
      <c r="C84" s="4" t="s">
        <v>65</v>
      </c>
      <c r="D84" s="4" t="s">
        <v>71</v>
      </c>
      <c r="E84" s="4" t="s">
        <v>71</v>
      </c>
      <c r="F84" s="4" t="s">
        <v>71</v>
      </c>
      <c r="G84" s="4" t="s">
        <v>237</v>
      </c>
      <c r="H84" s="4" t="s">
        <v>236</v>
      </c>
      <c r="I84" s="4" t="s">
        <v>236</v>
      </c>
      <c r="J84" s="4" t="s">
        <v>236</v>
      </c>
      <c r="K84" s="4" t="s">
        <v>51</v>
      </c>
      <c r="L84" s="36" t="s">
        <v>237</v>
      </c>
      <c r="M84" s="4" t="s">
        <v>76</v>
      </c>
      <c r="N84" s="4" t="s">
        <v>33</v>
      </c>
      <c r="O84" s="4" t="s">
        <v>33</v>
      </c>
      <c r="P84" s="4" t="s">
        <v>53</v>
      </c>
      <c r="Q84" s="4" t="s">
        <v>53</v>
      </c>
      <c r="R84" s="4" t="s">
        <v>53</v>
      </c>
      <c r="S84" s="4" t="s">
        <v>53</v>
      </c>
      <c r="T84" s="4" t="s">
        <v>53</v>
      </c>
      <c r="U84" s="5">
        <v>5</v>
      </c>
      <c r="V84" s="4" t="s">
        <v>303</v>
      </c>
      <c r="W84" s="38" t="s">
        <v>86</v>
      </c>
    </row>
    <row r="85" spans="1:23" ht="26.85" customHeight="1">
      <c r="A85" s="4" t="s">
        <v>24</v>
      </c>
      <c r="B85" s="4" t="s">
        <v>304</v>
      </c>
      <c r="C85" s="4" t="s">
        <v>65</v>
      </c>
      <c r="D85" s="4" t="s">
        <v>71</v>
      </c>
      <c r="E85" s="4" t="s">
        <v>71</v>
      </c>
      <c r="F85" s="4" t="s">
        <v>71</v>
      </c>
      <c r="G85" s="4" t="s">
        <v>237</v>
      </c>
      <c r="H85" s="4" t="s">
        <v>236</v>
      </c>
      <c r="I85" s="4" t="s">
        <v>236</v>
      </c>
      <c r="J85" s="4" t="s">
        <v>236</v>
      </c>
      <c r="K85" s="4" t="s">
        <v>51</v>
      </c>
      <c r="L85" s="36" t="s">
        <v>237</v>
      </c>
      <c r="M85" s="4" t="s">
        <v>76</v>
      </c>
      <c r="N85" s="4" t="s">
        <v>33</v>
      </c>
      <c r="O85" s="4" t="s">
        <v>33</v>
      </c>
      <c r="P85" s="4" t="s">
        <v>53</v>
      </c>
      <c r="Q85" s="4" t="s">
        <v>53</v>
      </c>
      <c r="R85" s="4" t="s">
        <v>53</v>
      </c>
      <c r="S85" s="4" t="s">
        <v>34</v>
      </c>
      <c r="T85" s="4" t="s">
        <v>53</v>
      </c>
      <c r="U85" s="5">
        <v>4.5</v>
      </c>
      <c r="V85" s="4" t="s">
        <v>305</v>
      </c>
      <c r="W85" s="38" t="s">
        <v>86</v>
      </c>
    </row>
    <row r="86" spans="1:23" ht="26.85" customHeight="1">
      <c r="A86" s="4" t="s">
        <v>24</v>
      </c>
      <c r="B86" s="4" t="s">
        <v>306</v>
      </c>
      <c r="C86" s="4" t="s">
        <v>26</v>
      </c>
      <c r="D86" s="4" t="s">
        <v>71</v>
      </c>
      <c r="E86" s="4" t="s">
        <v>71</v>
      </c>
      <c r="F86" s="4" t="s">
        <v>71</v>
      </c>
      <c r="G86" s="4" t="s">
        <v>237</v>
      </c>
      <c r="H86" s="4" t="s">
        <v>307</v>
      </c>
      <c r="I86" s="4" t="s">
        <v>307</v>
      </c>
      <c r="J86" s="4" t="s">
        <v>307</v>
      </c>
      <c r="K86" s="4" t="s">
        <v>182</v>
      </c>
      <c r="L86" s="36" t="s">
        <v>308</v>
      </c>
      <c r="M86" s="4" t="s">
        <v>76</v>
      </c>
      <c r="N86" s="4" t="s">
        <v>33</v>
      </c>
      <c r="O86" s="4" t="s">
        <v>33</v>
      </c>
      <c r="P86" s="4" t="s">
        <v>53</v>
      </c>
      <c r="Q86" s="4" t="s">
        <v>53</v>
      </c>
      <c r="R86" s="4" t="s">
        <v>53</v>
      </c>
      <c r="S86" s="4" t="s">
        <v>34</v>
      </c>
      <c r="T86" s="4" t="s">
        <v>34</v>
      </c>
      <c r="U86" s="5">
        <v>4</v>
      </c>
      <c r="V86" s="4" t="s">
        <v>309</v>
      </c>
      <c r="W86" s="38" t="s">
        <v>86</v>
      </c>
    </row>
    <row r="87" spans="1:23" ht="26.85" customHeight="1">
      <c r="A87" s="4" t="s">
        <v>24</v>
      </c>
      <c r="B87" s="4" t="s">
        <v>310</v>
      </c>
      <c r="C87" s="4" t="s">
        <v>26</v>
      </c>
      <c r="D87" s="4" t="s">
        <v>71</v>
      </c>
      <c r="E87" s="4" t="s">
        <v>71</v>
      </c>
      <c r="F87" s="4" t="s">
        <v>71</v>
      </c>
      <c r="G87" s="4" t="s">
        <v>72</v>
      </c>
      <c r="H87" s="4" t="s">
        <v>183</v>
      </c>
      <c r="I87" s="4" t="s">
        <v>183</v>
      </c>
      <c r="J87" s="4" t="s">
        <v>183</v>
      </c>
      <c r="K87" s="4" t="s">
        <v>182</v>
      </c>
      <c r="L87" s="36" t="s">
        <v>311</v>
      </c>
      <c r="M87" s="4" t="s">
        <v>76</v>
      </c>
      <c r="N87" s="4" t="s">
        <v>33</v>
      </c>
      <c r="O87" s="4" t="s">
        <v>33</v>
      </c>
      <c r="P87" s="4" t="s">
        <v>53</v>
      </c>
      <c r="Q87" s="4" t="s">
        <v>53</v>
      </c>
      <c r="R87" s="4" t="s">
        <v>53</v>
      </c>
      <c r="S87" s="4" t="s">
        <v>34</v>
      </c>
      <c r="T87" s="4" t="s">
        <v>34</v>
      </c>
      <c r="U87" s="5">
        <v>4</v>
      </c>
      <c r="V87" s="4" t="s">
        <v>312</v>
      </c>
      <c r="W87" s="38" t="s">
        <v>86</v>
      </c>
    </row>
    <row r="88" spans="1:23" ht="26.85" customHeight="1">
      <c r="A88" s="4" t="s">
        <v>24</v>
      </c>
      <c r="B88" s="4" t="s">
        <v>313</v>
      </c>
      <c r="C88" s="4" t="s">
        <v>26</v>
      </c>
      <c r="D88" s="4" t="s">
        <v>71</v>
      </c>
      <c r="E88" s="4" t="s">
        <v>71</v>
      </c>
      <c r="F88" s="4" t="s">
        <v>71</v>
      </c>
      <c r="G88" s="4" t="s">
        <v>72</v>
      </c>
      <c r="H88" s="4" t="s">
        <v>183</v>
      </c>
      <c r="I88" s="4" t="s">
        <v>183</v>
      </c>
      <c r="J88" s="4" t="s">
        <v>183</v>
      </c>
      <c r="K88" s="4" t="s">
        <v>182</v>
      </c>
      <c r="L88" s="36" t="s">
        <v>311</v>
      </c>
      <c r="M88" s="4" t="s">
        <v>76</v>
      </c>
      <c r="N88" s="4" t="s">
        <v>314</v>
      </c>
      <c r="O88" s="4" t="s">
        <v>86</v>
      </c>
      <c r="P88" s="4" t="s">
        <v>53</v>
      </c>
      <c r="Q88" s="4" t="s">
        <v>53</v>
      </c>
      <c r="R88" s="4" t="s">
        <v>53</v>
      </c>
      <c r="S88" s="4" t="s">
        <v>34</v>
      </c>
      <c r="T88" s="4" t="s">
        <v>34</v>
      </c>
      <c r="U88" s="5">
        <v>4</v>
      </c>
      <c r="V88" s="4" t="s">
        <v>315</v>
      </c>
      <c r="W88" s="38" t="s">
        <v>86</v>
      </c>
    </row>
    <row r="89" spans="1:23" ht="26.85" customHeight="1">
      <c r="A89" s="4" t="s">
        <v>24</v>
      </c>
      <c r="B89" s="4" t="s">
        <v>316</v>
      </c>
      <c r="C89" s="4" t="s">
        <v>65</v>
      </c>
      <c r="D89" s="4" t="s">
        <v>27</v>
      </c>
      <c r="E89" s="4" t="s">
        <v>27</v>
      </c>
      <c r="F89" s="4" t="s">
        <v>27</v>
      </c>
      <c r="G89" s="4" t="s">
        <v>153</v>
      </c>
      <c r="H89" s="4" t="s">
        <v>44</v>
      </c>
      <c r="I89" s="4" t="s">
        <v>44</v>
      </c>
      <c r="J89" s="4" t="s">
        <v>44</v>
      </c>
      <c r="K89" s="4" t="s">
        <v>216</v>
      </c>
      <c r="L89" s="36" t="s">
        <v>317</v>
      </c>
      <c r="M89" s="4" t="s">
        <v>32</v>
      </c>
      <c r="N89" s="4" t="s">
        <v>33</v>
      </c>
      <c r="O89" s="4" t="s">
        <v>33</v>
      </c>
      <c r="P89" s="4" t="s">
        <v>53</v>
      </c>
      <c r="Q89" s="4" t="s">
        <v>53</v>
      </c>
      <c r="R89" s="4" t="s">
        <v>53</v>
      </c>
      <c r="S89" s="4" t="s">
        <v>53</v>
      </c>
      <c r="T89" s="4" t="s">
        <v>34</v>
      </c>
      <c r="U89" s="5">
        <v>4.5</v>
      </c>
      <c r="V89" s="4" t="s">
        <v>318</v>
      </c>
      <c r="W89" s="38" t="s">
        <v>86</v>
      </c>
    </row>
    <row r="90" spans="1:23" ht="26.85" customHeight="1">
      <c r="A90" s="4" t="s">
        <v>24</v>
      </c>
      <c r="B90" s="4" t="s">
        <v>319</v>
      </c>
      <c r="C90" s="4" t="s">
        <v>37</v>
      </c>
      <c r="D90" s="4" t="s">
        <v>71</v>
      </c>
      <c r="E90" s="4" t="s">
        <v>71</v>
      </c>
      <c r="F90" s="4" t="s">
        <v>71</v>
      </c>
      <c r="G90" s="4" t="s">
        <v>237</v>
      </c>
      <c r="H90" s="4" t="s">
        <v>236</v>
      </c>
      <c r="I90" s="4" t="s">
        <v>236</v>
      </c>
      <c r="J90" s="4" t="s">
        <v>236</v>
      </c>
      <c r="K90" s="4" t="s">
        <v>51</v>
      </c>
      <c r="L90" s="36" t="s">
        <v>237</v>
      </c>
      <c r="M90" s="4" t="s">
        <v>76</v>
      </c>
      <c r="N90" s="4" t="s">
        <v>86</v>
      </c>
      <c r="O90" s="4" t="s">
        <v>33</v>
      </c>
      <c r="P90" s="4" t="s">
        <v>53</v>
      </c>
      <c r="Q90" s="4" t="s">
        <v>53</v>
      </c>
      <c r="R90" s="4" t="s">
        <v>53</v>
      </c>
      <c r="S90" s="4" t="s">
        <v>53</v>
      </c>
      <c r="T90" s="4" t="s">
        <v>53</v>
      </c>
      <c r="U90" s="5">
        <v>5</v>
      </c>
      <c r="V90" s="4" t="s">
        <v>320</v>
      </c>
      <c r="W90" s="38" t="s">
        <v>86</v>
      </c>
    </row>
    <row r="91" spans="1:23" ht="26.85" customHeight="1">
      <c r="A91" s="4" t="s">
        <v>24</v>
      </c>
      <c r="B91" s="4" t="s">
        <v>321</v>
      </c>
      <c r="C91" s="4" t="s">
        <v>26</v>
      </c>
      <c r="D91" s="4" t="s">
        <v>27</v>
      </c>
      <c r="E91" s="4" t="s">
        <v>27</v>
      </c>
      <c r="F91" s="4" t="s">
        <v>27</v>
      </c>
      <c r="G91" s="4" t="s">
        <v>43</v>
      </c>
      <c r="H91" s="4" t="s">
        <v>46</v>
      </c>
      <c r="I91" s="4" t="s">
        <v>46</v>
      </c>
      <c r="J91" s="4" t="s">
        <v>46</v>
      </c>
      <c r="K91" s="4" t="s">
        <v>99</v>
      </c>
      <c r="L91" s="36" t="s">
        <v>322</v>
      </c>
      <c r="M91" s="4" t="s">
        <v>48</v>
      </c>
      <c r="N91" s="4" t="s">
        <v>33</v>
      </c>
      <c r="O91" s="4" t="s">
        <v>33</v>
      </c>
      <c r="P91" s="4" t="s">
        <v>53</v>
      </c>
      <c r="Q91" s="4" t="s">
        <v>53</v>
      </c>
      <c r="R91" s="4" t="s">
        <v>53</v>
      </c>
      <c r="S91" s="4" t="s">
        <v>34</v>
      </c>
      <c r="T91" s="4" t="s">
        <v>34</v>
      </c>
      <c r="U91" s="5">
        <v>4</v>
      </c>
      <c r="V91" s="4" t="s">
        <v>323</v>
      </c>
      <c r="W91" s="38" t="s">
        <v>86</v>
      </c>
    </row>
    <row r="92" spans="1:23" ht="26.85" customHeight="1">
      <c r="A92" s="4" t="s">
        <v>24</v>
      </c>
      <c r="B92" s="4" t="s">
        <v>324</v>
      </c>
      <c r="C92" s="4" t="s">
        <v>26</v>
      </c>
      <c r="D92" s="4" t="s">
        <v>71</v>
      </c>
      <c r="E92" s="4" t="s">
        <v>71</v>
      </c>
      <c r="F92" s="4" t="s">
        <v>71</v>
      </c>
      <c r="G92" s="4" t="s">
        <v>72</v>
      </c>
      <c r="H92" s="4" t="s">
        <v>73</v>
      </c>
      <c r="I92" s="4" t="s">
        <v>73</v>
      </c>
      <c r="J92" s="4" t="s">
        <v>73</v>
      </c>
      <c r="K92" s="4" t="s">
        <v>325</v>
      </c>
      <c r="L92" s="36" t="s">
        <v>326</v>
      </c>
      <c r="M92" s="4" t="s">
        <v>76</v>
      </c>
      <c r="N92" s="4" t="s">
        <v>86</v>
      </c>
      <c r="O92" s="4" t="s">
        <v>33</v>
      </c>
      <c r="P92" s="4" t="s">
        <v>53</v>
      </c>
      <c r="Q92" s="4" t="s">
        <v>34</v>
      </c>
      <c r="R92" s="4" t="s">
        <v>53</v>
      </c>
      <c r="S92" s="4" t="s">
        <v>33</v>
      </c>
      <c r="T92" s="4" t="s">
        <v>33</v>
      </c>
      <c r="U92" s="5">
        <v>2.5</v>
      </c>
      <c r="V92" s="4" t="s">
        <v>327</v>
      </c>
      <c r="W92" s="38" t="s">
        <v>86</v>
      </c>
    </row>
    <row r="93" spans="1:23" ht="26.85" customHeight="1">
      <c r="A93" s="4" t="s">
        <v>24</v>
      </c>
      <c r="B93" s="4" t="s">
        <v>328</v>
      </c>
      <c r="C93" s="4" t="s">
        <v>65</v>
      </c>
      <c r="D93" s="4" t="s">
        <v>27</v>
      </c>
      <c r="E93" s="4" t="s">
        <v>27</v>
      </c>
      <c r="F93" s="4" t="s">
        <v>27</v>
      </c>
      <c r="G93" s="4" t="s">
        <v>153</v>
      </c>
      <c r="H93" s="4" t="s">
        <v>38</v>
      </c>
      <c r="I93" s="4" t="s">
        <v>44</v>
      </c>
      <c r="J93" s="4" t="s">
        <v>38</v>
      </c>
      <c r="K93" s="4" t="s">
        <v>60</v>
      </c>
      <c r="L93" s="36" t="s">
        <v>146</v>
      </c>
      <c r="M93" s="4" t="s">
        <v>32</v>
      </c>
      <c r="N93" s="4" t="s">
        <v>86</v>
      </c>
      <c r="O93" s="4" t="s">
        <v>198</v>
      </c>
      <c r="P93" s="4" t="s">
        <v>53</v>
      </c>
      <c r="Q93" s="4" t="s">
        <v>53</v>
      </c>
      <c r="R93" s="4" t="s">
        <v>53</v>
      </c>
      <c r="S93" s="4" t="s">
        <v>53</v>
      </c>
      <c r="T93" s="4" t="s">
        <v>53</v>
      </c>
      <c r="U93" s="5">
        <v>5</v>
      </c>
      <c r="V93" s="4" t="s">
        <v>329</v>
      </c>
      <c r="W93" s="38" t="s">
        <v>33</v>
      </c>
    </row>
    <row r="94" spans="1:23" ht="26.85" customHeight="1">
      <c r="A94" s="4" t="s">
        <v>24</v>
      </c>
      <c r="B94" s="4" t="s">
        <v>330</v>
      </c>
      <c r="C94" s="4" t="s">
        <v>26</v>
      </c>
      <c r="D94" s="4" t="s">
        <v>71</v>
      </c>
      <c r="E94" s="4" t="s">
        <v>71</v>
      </c>
      <c r="F94" s="4" t="s">
        <v>71</v>
      </c>
      <c r="G94" s="4" t="s">
        <v>72</v>
      </c>
      <c r="H94" s="4" t="s">
        <v>183</v>
      </c>
      <c r="I94" s="4" t="s">
        <v>183</v>
      </c>
      <c r="J94" s="4" t="s">
        <v>183</v>
      </c>
      <c r="K94" s="4" t="s">
        <v>51</v>
      </c>
      <c r="L94" s="36" t="s">
        <v>72</v>
      </c>
      <c r="M94" s="4" t="s">
        <v>76</v>
      </c>
      <c r="N94" s="4" t="s">
        <v>86</v>
      </c>
      <c r="O94" s="4" t="s">
        <v>86</v>
      </c>
      <c r="P94" s="4" t="s">
        <v>53</v>
      </c>
      <c r="Q94" s="4" t="s">
        <v>53</v>
      </c>
      <c r="R94" s="4" t="s">
        <v>53</v>
      </c>
      <c r="S94" s="4" t="s">
        <v>53</v>
      </c>
      <c r="T94" s="4" t="s">
        <v>53</v>
      </c>
      <c r="U94" s="5">
        <v>5</v>
      </c>
      <c r="V94" s="4" t="s">
        <v>331</v>
      </c>
      <c r="W94" s="38" t="s">
        <v>86</v>
      </c>
    </row>
  </sheetData>
  <mergeCells count="2">
    <mergeCell ref="A1:W1"/>
    <mergeCell ref="A2:W2"/>
  </mergeCells>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96"/>
  <sheetViews>
    <sheetView topLeftCell="A50" workbookViewId="0">
      <selection activeCell="C78" sqref="C78"/>
    </sheetView>
  </sheetViews>
  <sheetFormatPr defaultRowHeight="13.8"/>
  <cols>
    <col min="1" max="1" width="10" customWidth="1"/>
    <col min="2" max="2" width="38" customWidth="1"/>
    <col min="3" max="3" width="18" customWidth="1"/>
    <col min="4" max="5" width="17" customWidth="1"/>
    <col min="6" max="6" width="12" customWidth="1"/>
    <col min="7" max="7" width="44" customWidth="1"/>
    <col min="8" max="8" width="23" customWidth="1"/>
    <col min="9" max="9" width="16" customWidth="1"/>
    <col min="10" max="10" width="19" customWidth="1"/>
    <col min="11" max="11" width="30" customWidth="1"/>
  </cols>
  <sheetData>
    <row r="1" spans="1:17" ht="19.649999999999999" customHeight="1">
      <c r="A1" s="41" t="s">
        <v>332</v>
      </c>
      <c r="B1" s="40"/>
      <c r="C1" s="40"/>
      <c r="D1" s="40"/>
      <c r="E1" s="40"/>
      <c r="F1" s="40"/>
      <c r="G1" s="40"/>
      <c r="H1" s="40"/>
      <c r="I1" s="40"/>
      <c r="J1" s="40"/>
      <c r="K1" s="40"/>
    </row>
    <row r="2" spans="1:17" ht="19.649999999999999" customHeight="1">
      <c r="A2" s="39"/>
      <c r="B2" s="40"/>
      <c r="C2" s="40"/>
      <c r="D2" s="40"/>
      <c r="E2" s="40"/>
      <c r="F2" s="40"/>
      <c r="G2" s="40"/>
      <c r="H2" s="40"/>
      <c r="I2" s="40"/>
      <c r="J2" s="40"/>
      <c r="K2" s="40"/>
    </row>
    <row r="3" spans="1:17" ht="19.649999999999999" customHeight="1">
      <c r="A3" s="1" t="s">
        <v>2</v>
      </c>
      <c r="B3" s="2" t="s">
        <v>333</v>
      </c>
      <c r="C3" s="2" t="s">
        <v>334</v>
      </c>
      <c r="D3" s="2" t="s">
        <v>5</v>
      </c>
      <c r="E3" s="2" t="s">
        <v>335</v>
      </c>
      <c r="F3" s="2" t="s">
        <v>336</v>
      </c>
      <c r="G3" s="2" t="s">
        <v>337</v>
      </c>
      <c r="H3" s="2" t="s">
        <v>338</v>
      </c>
      <c r="I3" s="2" t="s">
        <v>339</v>
      </c>
      <c r="J3" s="2" t="s">
        <v>340</v>
      </c>
      <c r="K3" s="3" t="s">
        <v>341</v>
      </c>
      <c r="L3" t="s">
        <v>342</v>
      </c>
      <c r="M3" t="s">
        <v>343</v>
      </c>
      <c r="N3" t="s">
        <v>344</v>
      </c>
      <c r="O3" t="s">
        <v>345</v>
      </c>
      <c r="P3" t="s">
        <v>346</v>
      </c>
      <c r="Q3" t="s">
        <v>347</v>
      </c>
    </row>
    <row r="4" spans="1:17" ht="19.649999999999999" customHeight="1">
      <c r="A4" s="4" t="s">
        <v>24</v>
      </c>
      <c r="B4" s="4" t="s">
        <v>25</v>
      </c>
      <c r="C4" s="4" t="s">
        <v>28</v>
      </c>
      <c r="D4" s="4" t="s">
        <v>27</v>
      </c>
      <c r="E4" s="4" t="s">
        <v>44</v>
      </c>
      <c r="F4" s="4" t="s">
        <v>34</v>
      </c>
      <c r="G4" s="4" t="s">
        <v>348</v>
      </c>
      <c r="H4" s="4" t="s">
        <v>349</v>
      </c>
      <c r="I4" s="4" t="s">
        <v>32</v>
      </c>
      <c r="J4" s="4" t="s">
        <v>350</v>
      </c>
      <c r="K4" s="4" t="s">
        <v>351</v>
      </c>
    </row>
    <row r="5" spans="1:17" ht="19.649999999999999" customHeight="1">
      <c r="A5" s="4" t="s">
        <v>24</v>
      </c>
      <c r="B5" s="4" t="s">
        <v>25</v>
      </c>
      <c r="C5" s="4" t="s">
        <v>43</v>
      </c>
      <c r="D5" s="4" t="s">
        <v>27</v>
      </c>
      <c r="E5" s="4" t="s">
        <v>45</v>
      </c>
      <c r="F5" s="4" t="s">
        <v>34</v>
      </c>
      <c r="G5" s="4" t="s">
        <v>352</v>
      </c>
      <c r="H5" s="4" t="s">
        <v>353</v>
      </c>
      <c r="I5" s="4" t="s">
        <v>48</v>
      </c>
      <c r="J5" s="4" t="s">
        <v>350</v>
      </c>
      <c r="K5" s="4" t="s">
        <v>354</v>
      </c>
    </row>
    <row r="6" spans="1:17" ht="19.649999999999999" customHeight="1">
      <c r="A6" s="4" t="s">
        <v>24</v>
      </c>
      <c r="B6" s="4" t="s">
        <v>25</v>
      </c>
      <c r="C6" s="4" t="s">
        <v>83</v>
      </c>
      <c r="D6" s="4" t="s">
        <v>27</v>
      </c>
      <c r="E6" s="4" t="s">
        <v>44</v>
      </c>
      <c r="F6" s="4" t="s">
        <v>34</v>
      </c>
      <c r="G6" s="4" t="s">
        <v>355</v>
      </c>
      <c r="H6" s="4" t="s">
        <v>356</v>
      </c>
      <c r="I6" s="4" t="s">
        <v>32</v>
      </c>
      <c r="J6" s="4" t="s">
        <v>350</v>
      </c>
      <c r="K6" s="4" t="s">
        <v>357</v>
      </c>
    </row>
    <row r="7" spans="1:17" ht="19.649999999999999" customHeight="1">
      <c r="A7" s="4" t="s">
        <v>24</v>
      </c>
      <c r="B7" s="4" t="s">
        <v>25</v>
      </c>
      <c r="C7" s="4" t="s">
        <v>111</v>
      </c>
      <c r="D7" s="4" t="s">
        <v>27</v>
      </c>
      <c r="E7" s="4" t="s">
        <v>112</v>
      </c>
      <c r="F7" s="4" t="s">
        <v>34</v>
      </c>
      <c r="G7" s="4" t="s">
        <v>358</v>
      </c>
      <c r="H7" s="4" t="s">
        <v>359</v>
      </c>
      <c r="I7" s="4" t="s">
        <v>113</v>
      </c>
      <c r="J7" s="4" t="s">
        <v>350</v>
      </c>
      <c r="K7" s="4" t="s">
        <v>360</v>
      </c>
    </row>
    <row r="8" spans="1:17" ht="19.649999999999999" customHeight="1">
      <c r="A8" s="4" t="s">
        <v>24</v>
      </c>
      <c r="B8" s="4" t="s">
        <v>36</v>
      </c>
      <c r="C8" s="4" t="s">
        <v>28</v>
      </c>
      <c r="D8" s="4" t="s">
        <v>27</v>
      </c>
      <c r="E8" s="4" t="s">
        <v>44</v>
      </c>
      <c r="F8" s="4" t="s">
        <v>34</v>
      </c>
      <c r="G8" s="4" t="s">
        <v>361</v>
      </c>
      <c r="H8" s="4" t="s">
        <v>362</v>
      </c>
      <c r="I8" s="4" t="s">
        <v>32</v>
      </c>
      <c r="J8" s="4" t="s">
        <v>350</v>
      </c>
      <c r="K8" s="6" t="s">
        <v>363</v>
      </c>
    </row>
    <row r="9" spans="1:17" ht="19.649999999999999" customHeight="1">
      <c r="A9" s="4" t="s">
        <v>24</v>
      </c>
      <c r="B9" s="4" t="s">
        <v>36</v>
      </c>
      <c r="C9" s="4" t="s">
        <v>43</v>
      </c>
      <c r="D9" s="4" t="s">
        <v>27</v>
      </c>
      <c r="E9" s="4" t="s">
        <v>45</v>
      </c>
      <c r="F9" s="4" t="s">
        <v>34</v>
      </c>
      <c r="G9" s="4" t="s">
        <v>364</v>
      </c>
      <c r="H9" s="4" t="s">
        <v>365</v>
      </c>
      <c r="I9" s="4" t="s">
        <v>48</v>
      </c>
      <c r="J9" s="4" t="s">
        <v>350</v>
      </c>
      <c r="K9" s="4" t="s">
        <v>366</v>
      </c>
    </row>
    <row r="10" spans="1:17" ht="19.649999999999999" customHeight="1">
      <c r="A10" s="4" t="s">
        <v>24</v>
      </c>
      <c r="B10" s="4" t="s">
        <v>36</v>
      </c>
      <c r="C10" s="4" t="s">
        <v>83</v>
      </c>
      <c r="D10" s="4" t="s">
        <v>27</v>
      </c>
      <c r="E10" s="4" t="s">
        <v>44</v>
      </c>
      <c r="F10" s="4" t="s">
        <v>34</v>
      </c>
      <c r="G10" s="4" t="s">
        <v>367</v>
      </c>
      <c r="H10" s="4" t="s">
        <v>368</v>
      </c>
      <c r="I10" s="4" t="s">
        <v>32</v>
      </c>
      <c r="J10" s="4" t="s">
        <v>350</v>
      </c>
      <c r="K10" s="4" t="s">
        <v>369</v>
      </c>
    </row>
    <row r="11" spans="1:17" ht="19.649999999999999" customHeight="1">
      <c r="A11" s="4" t="s">
        <v>24</v>
      </c>
      <c r="B11" s="4" t="s">
        <v>36</v>
      </c>
      <c r="C11" s="4" t="s">
        <v>94</v>
      </c>
      <c r="D11" s="4" t="s">
        <v>27</v>
      </c>
      <c r="E11" s="4" t="s">
        <v>45</v>
      </c>
      <c r="F11" s="4" t="s">
        <v>34</v>
      </c>
      <c r="G11" s="4" t="s">
        <v>370</v>
      </c>
      <c r="H11" s="4" t="s">
        <v>371</v>
      </c>
      <c r="I11" s="4" t="s">
        <v>48</v>
      </c>
      <c r="J11" s="4" t="s">
        <v>350</v>
      </c>
      <c r="K11" s="4" t="s">
        <v>372</v>
      </c>
    </row>
    <row r="12" spans="1:17" ht="19.649999999999999" customHeight="1">
      <c r="A12" s="4" t="s">
        <v>24</v>
      </c>
      <c r="B12" s="4" t="s">
        <v>42</v>
      </c>
      <c r="C12" s="4" t="s">
        <v>43</v>
      </c>
      <c r="D12" s="4" t="s">
        <v>27</v>
      </c>
      <c r="E12" s="4" t="s">
        <v>45</v>
      </c>
      <c r="F12" s="4" t="s">
        <v>34</v>
      </c>
      <c r="G12" s="4" t="s">
        <v>373</v>
      </c>
      <c r="H12" s="4" t="s">
        <v>374</v>
      </c>
      <c r="I12" s="4" t="s">
        <v>48</v>
      </c>
      <c r="J12" s="4" t="s">
        <v>350</v>
      </c>
      <c r="K12" s="6" t="s">
        <v>375</v>
      </c>
    </row>
    <row r="13" spans="1:17" ht="19.649999999999999" customHeight="1">
      <c r="A13" s="4" t="s">
        <v>24</v>
      </c>
      <c r="B13" s="4" t="s">
        <v>42</v>
      </c>
      <c r="C13" s="4" t="s">
        <v>28</v>
      </c>
      <c r="D13" s="4" t="s">
        <v>27</v>
      </c>
      <c r="E13" s="4" t="s">
        <v>44</v>
      </c>
      <c r="F13" s="4" t="s">
        <v>34</v>
      </c>
      <c r="G13" s="4" t="s">
        <v>376</v>
      </c>
      <c r="H13" s="4" t="s">
        <v>374</v>
      </c>
      <c r="I13" s="4" t="s">
        <v>32</v>
      </c>
      <c r="J13" s="4" t="s">
        <v>350</v>
      </c>
      <c r="K13" s="4" t="s">
        <v>377</v>
      </c>
    </row>
    <row r="14" spans="1:17" ht="19.649999999999999" customHeight="1">
      <c r="A14" s="4" t="s">
        <v>24</v>
      </c>
      <c r="B14" s="4" t="s">
        <v>55</v>
      </c>
      <c r="C14" s="4" t="s">
        <v>28</v>
      </c>
      <c r="D14" s="4" t="s">
        <v>27</v>
      </c>
      <c r="E14" s="4" t="s">
        <v>44</v>
      </c>
      <c r="F14" s="4" t="s">
        <v>34</v>
      </c>
      <c r="G14" s="4" t="s">
        <v>378</v>
      </c>
      <c r="H14" s="4" t="s">
        <v>379</v>
      </c>
      <c r="I14" s="4" t="s">
        <v>32</v>
      </c>
      <c r="J14" s="4" t="s">
        <v>350</v>
      </c>
      <c r="K14" s="6" t="s">
        <v>380</v>
      </c>
    </row>
    <row r="15" spans="1:17" ht="19.649999999999999" customHeight="1">
      <c r="A15" s="4" t="s">
        <v>24</v>
      </c>
      <c r="B15" s="4" t="s">
        <v>55</v>
      </c>
      <c r="C15" s="4" t="s">
        <v>43</v>
      </c>
      <c r="D15" s="4" t="s">
        <v>27</v>
      </c>
      <c r="E15" s="4" t="s">
        <v>45</v>
      </c>
      <c r="F15" s="4" t="s">
        <v>34</v>
      </c>
      <c r="G15" s="4" t="s">
        <v>381</v>
      </c>
      <c r="H15" s="4" t="s">
        <v>382</v>
      </c>
      <c r="I15" s="4" t="s">
        <v>48</v>
      </c>
      <c r="J15" s="4" t="s">
        <v>350</v>
      </c>
      <c r="K15" s="4" t="s">
        <v>383</v>
      </c>
    </row>
    <row r="16" spans="1:17" ht="19.649999999999999" customHeight="1">
      <c r="A16" s="4" t="s">
        <v>24</v>
      </c>
      <c r="B16" s="4" t="s">
        <v>55</v>
      </c>
      <c r="C16" s="4" t="s">
        <v>83</v>
      </c>
      <c r="D16" s="4" t="s">
        <v>27</v>
      </c>
      <c r="E16" s="4" t="s">
        <v>44</v>
      </c>
      <c r="F16" s="4" t="s">
        <v>34</v>
      </c>
      <c r="G16" s="4" t="s">
        <v>384</v>
      </c>
      <c r="H16" s="4" t="s">
        <v>385</v>
      </c>
      <c r="I16" s="4" t="s">
        <v>32</v>
      </c>
      <c r="J16" s="4" t="s">
        <v>350</v>
      </c>
      <c r="K16" s="4" t="s">
        <v>386</v>
      </c>
    </row>
    <row r="17" spans="1:11" ht="19.649999999999999" customHeight="1">
      <c r="A17" s="4" t="s">
        <v>24</v>
      </c>
      <c r="B17" s="4" t="s">
        <v>55</v>
      </c>
      <c r="C17" s="4" t="s">
        <v>94</v>
      </c>
      <c r="D17" s="4" t="s">
        <v>27</v>
      </c>
      <c r="E17" s="4" t="s">
        <v>45</v>
      </c>
      <c r="F17" s="4" t="s">
        <v>34</v>
      </c>
      <c r="G17" s="4" t="s">
        <v>387</v>
      </c>
      <c r="H17" s="4" t="s">
        <v>388</v>
      </c>
      <c r="I17" s="4" t="s">
        <v>48</v>
      </c>
      <c r="J17" s="4" t="s">
        <v>350</v>
      </c>
      <c r="K17" s="4" t="s">
        <v>389</v>
      </c>
    </row>
    <row r="18" spans="1:11" ht="19.649999999999999" customHeight="1">
      <c r="A18" s="4" t="s">
        <v>24</v>
      </c>
      <c r="B18" s="4" t="s">
        <v>55</v>
      </c>
      <c r="C18" s="4" t="s">
        <v>111</v>
      </c>
      <c r="D18" s="4" t="s">
        <v>27</v>
      </c>
      <c r="E18" s="4" t="s">
        <v>112</v>
      </c>
      <c r="F18" s="4" t="s">
        <v>34</v>
      </c>
      <c r="G18" s="4" t="s">
        <v>390</v>
      </c>
      <c r="H18" s="4" t="s">
        <v>391</v>
      </c>
      <c r="I18" s="4" t="s">
        <v>113</v>
      </c>
      <c r="J18" s="4" t="s">
        <v>350</v>
      </c>
      <c r="K18" s="4" t="s">
        <v>392</v>
      </c>
    </row>
    <row r="19" spans="1:11" ht="19.649999999999999" customHeight="1">
      <c r="A19" s="4" t="s">
        <v>24</v>
      </c>
      <c r="B19" s="4" t="s">
        <v>59</v>
      </c>
      <c r="C19" s="4" t="s">
        <v>60</v>
      </c>
      <c r="D19" s="4" t="s">
        <v>27</v>
      </c>
      <c r="E19" s="4" t="s">
        <v>45</v>
      </c>
      <c r="F19" s="4" t="s">
        <v>53</v>
      </c>
      <c r="G19" s="4" t="s">
        <v>393</v>
      </c>
      <c r="H19" s="4" t="s">
        <v>394</v>
      </c>
      <c r="I19" s="4" t="s">
        <v>48</v>
      </c>
      <c r="J19" s="4" t="s">
        <v>395</v>
      </c>
      <c r="K19" s="6" t="s">
        <v>396</v>
      </c>
    </row>
    <row r="20" spans="1:11" ht="19.649999999999999" customHeight="1">
      <c r="A20" s="4" t="s">
        <v>24</v>
      </c>
      <c r="B20" s="4" t="s">
        <v>59</v>
      </c>
      <c r="C20" s="4" t="s">
        <v>43</v>
      </c>
      <c r="D20" s="4" t="s">
        <v>27</v>
      </c>
      <c r="E20" s="4" t="s">
        <v>45</v>
      </c>
      <c r="F20" s="4" t="s">
        <v>53</v>
      </c>
      <c r="G20" s="4" t="s">
        <v>397</v>
      </c>
      <c r="H20" s="4" t="s">
        <v>398</v>
      </c>
      <c r="I20" s="4" t="s">
        <v>48</v>
      </c>
      <c r="J20" s="4" t="s">
        <v>395</v>
      </c>
      <c r="K20" s="4" t="s">
        <v>399</v>
      </c>
    </row>
    <row r="21" spans="1:11" ht="19.649999999999999" customHeight="1">
      <c r="A21" s="4" t="s">
        <v>24</v>
      </c>
      <c r="B21" s="4" t="s">
        <v>59</v>
      </c>
      <c r="C21" s="4" t="s">
        <v>83</v>
      </c>
      <c r="D21" s="4" t="s">
        <v>27</v>
      </c>
      <c r="E21" s="4" t="s">
        <v>44</v>
      </c>
      <c r="F21" s="4" t="s">
        <v>53</v>
      </c>
      <c r="G21" s="4" t="s">
        <v>400</v>
      </c>
      <c r="H21" s="4" t="s">
        <v>401</v>
      </c>
      <c r="I21" s="4" t="s">
        <v>32</v>
      </c>
      <c r="J21" s="4" t="s">
        <v>395</v>
      </c>
      <c r="K21" s="4" t="s">
        <v>402</v>
      </c>
    </row>
    <row r="22" spans="1:11" ht="19.649999999999999" customHeight="1">
      <c r="A22" s="4" t="s">
        <v>24</v>
      </c>
      <c r="B22" s="4" t="s">
        <v>59</v>
      </c>
      <c r="C22" s="4" t="s">
        <v>28</v>
      </c>
      <c r="D22" s="4" t="s">
        <v>27</v>
      </c>
      <c r="E22" s="4" t="s">
        <v>44</v>
      </c>
      <c r="F22" s="4" t="s">
        <v>53</v>
      </c>
      <c r="G22" s="4" t="s">
        <v>403</v>
      </c>
      <c r="H22" s="4" t="s">
        <v>404</v>
      </c>
      <c r="I22" s="4" t="s">
        <v>32</v>
      </c>
      <c r="J22" s="4" t="s">
        <v>395</v>
      </c>
      <c r="K22" s="4" t="s">
        <v>405</v>
      </c>
    </row>
    <row r="23" spans="1:11" ht="19.649999999999999" customHeight="1">
      <c r="A23" s="4" t="s">
        <v>24</v>
      </c>
      <c r="B23" s="4" t="s">
        <v>59</v>
      </c>
      <c r="C23" s="4" t="s">
        <v>216</v>
      </c>
      <c r="D23" s="4" t="s">
        <v>27</v>
      </c>
      <c r="E23" s="4" t="s">
        <v>44</v>
      </c>
      <c r="F23" s="4" t="s">
        <v>53</v>
      </c>
      <c r="G23" s="4" t="s">
        <v>406</v>
      </c>
      <c r="H23" s="4" t="s">
        <v>407</v>
      </c>
      <c r="I23" s="4" t="s">
        <v>32</v>
      </c>
      <c r="J23" s="4" t="s">
        <v>395</v>
      </c>
      <c r="K23" s="4" t="s">
        <v>408</v>
      </c>
    </row>
    <row r="24" spans="1:11" ht="19.649999999999999" customHeight="1">
      <c r="A24" s="4" t="s">
        <v>24</v>
      </c>
      <c r="B24" s="4" t="s">
        <v>64</v>
      </c>
      <c r="C24" s="4" t="s">
        <v>60</v>
      </c>
      <c r="D24" s="4" t="s">
        <v>27</v>
      </c>
      <c r="E24" s="4" t="s">
        <v>45</v>
      </c>
      <c r="F24" s="4" t="s">
        <v>53</v>
      </c>
      <c r="G24" s="4" t="s">
        <v>409</v>
      </c>
      <c r="H24" s="4" t="s">
        <v>410</v>
      </c>
      <c r="I24" s="4" t="s">
        <v>48</v>
      </c>
      <c r="J24" s="4" t="s">
        <v>395</v>
      </c>
      <c r="K24" s="6" t="s">
        <v>411</v>
      </c>
    </row>
    <row r="25" spans="1:11" ht="19.649999999999999" customHeight="1">
      <c r="A25" s="4" t="s">
        <v>24</v>
      </c>
      <c r="B25" s="4" t="s">
        <v>64</v>
      </c>
      <c r="C25" s="4" t="s">
        <v>153</v>
      </c>
      <c r="D25" s="4" t="s">
        <v>27</v>
      </c>
      <c r="E25" s="4" t="s">
        <v>44</v>
      </c>
      <c r="F25" s="4" t="s">
        <v>34</v>
      </c>
      <c r="G25" s="4" t="s">
        <v>412</v>
      </c>
      <c r="H25" s="4" t="s">
        <v>413</v>
      </c>
      <c r="I25" s="4" t="s">
        <v>32</v>
      </c>
      <c r="J25" s="4" t="s">
        <v>414</v>
      </c>
      <c r="K25" s="4" t="s">
        <v>415</v>
      </c>
    </row>
    <row r="26" spans="1:11" ht="19.649999999999999" customHeight="1">
      <c r="A26" s="4" t="s">
        <v>24</v>
      </c>
      <c r="B26" s="4" t="s">
        <v>64</v>
      </c>
      <c r="C26" s="4" t="s">
        <v>211</v>
      </c>
      <c r="D26" s="4" t="s">
        <v>27</v>
      </c>
      <c r="E26" s="4" t="s">
        <v>112</v>
      </c>
      <c r="F26" s="4" t="s">
        <v>34</v>
      </c>
      <c r="G26" s="4" t="s">
        <v>416</v>
      </c>
      <c r="H26" s="4" t="s">
        <v>417</v>
      </c>
      <c r="I26" s="4" t="s">
        <v>48</v>
      </c>
      <c r="J26" s="4" t="s">
        <v>414</v>
      </c>
      <c r="K26" s="4" t="s">
        <v>418</v>
      </c>
    </row>
    <row r="27" spans="1:11" ht="19.649999999999999" customHeight="1">
      <c r="A27" s="4" t="s">
        <v>24</v>
      </c>
      <c r="B27" s="4" t="s">
        <v>64</v>
      </c>
      <c r="C27" s="4" t="s">
        <v>419</v>
      </c>
      <c r="D27" s="4" t="s">
        <v>27</v>
      </c>
      <c r="E27" s="4" t="s">
        <v>45</v>
      </c>
      <c r="F27" s="4" t="s">
        <v>34</v>
      </c>
      <c r="G27" s="4" t="s">
        <v>420</v>
      </c>
      <c r="H27" s="4" t="s">
        <v>421</v>
      </c>
      <c r="I27" s="4" t="s">
        <v>32</v>
      </c>
      <c r="J27" s="4" t="s">
        <v>414</v>
      </c>
      <c r="K27" s="4" t="s">
        <v>422</v>
      </c>
    </row>
    <row r="28" spans="1:11" ht="19.649999999999999" customHeight="1">
      <c r="A28" s="4" t="s">
        <v>24</v>
      </c>
      <c r="B28" s="4" t="s">
        <v>70</v>
      </c>
      <c r="C28" s="4" t="s">
        <v>72</v>
      </c>
      <c r="D28" s="4" t="s">
        <v>71</v>
      </c>
      <c r="E28" s="4" t="s">
        <v>183</v>
      </c>
      <c r="F28" s="4" t="s">
        <v>53</v>
      </c>
      <c r="G28" s="4" t="s">
        <v>423</v>
      </c>
      <c r="H28" s="4" t="s">
        <v>424</v>
      </c>
      <c r="I28" s="4" t="s">
        <v>76</v>
      </c>
      <c r="J28" s="4" t="s">
        <v>350</v>
      </c>
      <c r="K28" s="6" t="s">
        <v>425</v>
      </c>
    </row>
    <row r="29" spans="1:11" ht="19.649999999999999" customHeight="1">
      <c r="A29" s="4" t="s">
        <v>24</v>
      </c>
      <c r="B29" s="4" t="s">
        <v>70</v>
      </c>
      <c r="C29" s="4" t="s">
        <v>182</v>
      </c>
      <c r="D29" s="4" t="s">
        <v>71</v>
      </c>
      <c r="E29" s="4" t="s">
        <v>183</v>
      </c>
      <c r="F29" s="4" t="s">
        <v>53</v>
      </c>
      <c r="G29" s="4" t="s">
        <v>426</v>
      </c>
      <c r="H29" s="4" t="s">
        <v>427</v>
      </c>
      <c r="I29" s="4" t="s">
        <v>76</v>
      </c>
      <c r="J29" s="4" t="s">
        <v>350</v>
      </c>
      <c r="K29" s="4" t="s">
        <v>428</v>
      </c>
    </row>
    <row r="30" spans="1:11" ht="19.649999999999999" customHeight="1">
      <c r="A30" s="4" t="s">
        <v>24</v>
      </c>
      <c r="B30" s="4" t="s">
        <v>70</v>
      </c>
      <c r="C30" s="4" t="s">
        <v>237</v>
      </c>
      <c r="D30" s="4" t="s">
        <v>71</v>
      </c>
      <c r="E30" s="4" t="s">
        <v>236</v>
      </c>
      <c r="F30" s="4" t="s">
        <v>53</v>
      </c>
      <c r="G30" s="4" t="s">
        <v>429</v>
      </c>
      <c r="H30" s="4" t="s">
        <v>430</v>
      </c>
      <c r="I30" s="4" t="s">
        <v>76</v>
      </c>
      <c r="J30" s="4" t="s">
        <v>350</v>
      </c>
      <c r="K30" s="4" t="s">
        <v>431</v>
      </c>
    </row>
    <row r="31" spans="1:11" ht="19.649999999999999" customHeight="1">
      <c r="A31" s="4" t="s">
        <v>24</v>
      </c>
      <c r="B31" s="4" t="s">
        <v>78</v>
      </c>
      <c r="C31" s="4" t="s">
        <v>28</v>
      </c>
      <c r="D31" s="4" t="s">
        <v>27</v>
      </c>
      <c r="E31" s="4" t="s">
        <v>44</v>
      </c>
      <c r="F31" s="4" t="s">
        <v>53</v>
      </c>
      <c r="G31" s="4" t="s">
        <v>432</v>
      </c>
      <c r="H31" s="4" t="s">
        <v>433</v>
      </c>
      <c r="I31" s="4" t="s">
        <v>32</v>
      </c>
      <c r="J31" s="4" t="s">
        <v>350</v>
      </c>
      <c r="K31" s="6" t="s">
        <v>434</v>
      </c>
    </row>
    <row r="32" spans="1:11" ht="19.649999999999999" customHeight="1">
      <c r="A32" s="4" t="s">
        <v>24</v>
      </c>
      <c r="B32" s="4" t="s">
        <v>78</v>
      </c>
      <c r="C32" s="4" t="s">
        <v>43</v>
      </c>
      <c r="D32" s="4" t="s">
        <v>27</v>
      </c>
      <c r="E32" s="4" t="s">
        <v>45</v>
      </c>
      <c r="F32" s="4" t="s">
        <v>53</v>
      </c>
      <c r="G32" s="4" t="s">
        <v>435</v>
      </c>
      <c r="H32" s="4" t="s">
        <v>436</v>
      </c>
      <c r="I32" s="4" t="s">
        <v>48</v>
      </c>
      <c r="J32" s="4" t="s">
        <v>350</v>
      </c>
      <c r="K32" s="4" t="s">
        <v>437</v>
      </c>
    </row>
    <row r="33" spans="1:11" ht="19.649999999999999" customHeight="1">
      <c r="A33" s="4" t="s">
        <v>24</v>
      </c>
      <c r="B33" s="4" t="s">
        <v>78</v>
      </c>
      <c r="C33" s="4" t="s">
        <v>83</v>
      </c>
      <c r="D33" s="4" t="s">
        <v>27</v>
      </c>
      <c r="E33" s="4" t="s">
        <v>44</v>
      </c>
      <c r="F33" s="4" t="s">
        <v>53</v>
      </c>
      <c r="G33" s="4" t="s">
        <v>438</v>
      </c>
      <c r="H33" s="4" t="s">
        <v>436</v>
      </c>
      <c r="I33" s="4" t="s">
        <v>32</v>
      </c>
      <c r="J33" s="4" t="s">
        <v>350</v>
      </c>
      <c r="K33" s="4" t="s">
        <v>439</v>
      </c>
    </row>
    <row r="34" spans="1:11" ht="19.649999999999999" customHeight="1">
      <c r="A34" s="4" t="s">
        <v>24</v>
      </c>
      <c r="B34" s="4" t="s">
        <v>78</v>
      </c>
      <c r="C34" s="4" t="s">
        <v>111</v>
      </c>
      <c r="D34" s="4" t="s">
        <v>27</v>
      </c>
      <c r="E34" s="4" t="s">
        <v>112</v>
      </c>
      <c r="F34" s="4" t="s">
        <v>53</v>
      </c>
      <c r="G34" s="4" t="s">
        <v>440</v>
      </c>
      <c r="H34" s="4" t="s">
        <v>436</v>
      </c>
      <c r="I34" s="4" t="s">
        <v>113</v>
      </c>
      <c r="J34" s="4" t="s">
        <v>350</v>
      </c>
      <c r="K34" s="4" t="s">
        <v>441</v>
      </c>
    </row>
    <row r="35" spans="1:11" ht="19.649999999999999" customHeight="1">
      <c r="A35" s="4" t="s">
        <v>24</v>
      </c>
      <c r="B35" s="4" t="s">
        <v>78</v>
      </c>
      <c r="C35" s="4" t="s">
        <v>139</v>
      </c>
      <c r="D35" s="4" t="s">
        <v>27</v>
      </c>
      <c r="E35" s="4" t="s">
        <v>112</v>
      </c>
      <c r="F35" s="4" t="s">
        <v>34</v>
      </c>
      <c r="G35" s="4" t="s">
        <v>442</v>
      </c>
      <c r="H35" s="4" t="s">
        <v>443</v>
      </c>
      <c r="I35" s="4" t="s">
        <v>120</v>
      </c>
      <c r="J35" s="4" t="s">
        <v>414</v>
      </c>
      <c r="K35" s="4" t="s">
        <v>444</v>
      </c>
    </row>
    <row r="36" spans="1:11" ht="19.649999999999999" customHeight="1">
      <c r="A36" s="4" t="s">
        <v>24</v>
      </c>
      <c r="B36" s="4" t="s">
        <v>82</v>
      </c>
      <c r="C36" s="4" t="s">
        <v>83</v>
      </c>
      <c r="D36" s="4" t="s">
        <v>27</v>
      </c>
      <c r="E36" s="4" t="s">
        <v>44</v>
      </c>
      <c r="F36" s="4" t="s">
        <v>53</v>
      </c>
      <c r="G36" s="4" t="s">
        <v>445</v>
      </c>
      <c r="H36" s="4" t="s">
        <v>446</v>
      </c>
      <c r="I36" s="4" t="s">
        <v>32</v>
      </c>
      <c r="J36" s="4" t="s">
        <v>395</v>
      </c>
      <c r="K36" s="6" t="s">
        <v>447</v>
      </c>
    </row>
    <row r="37" spans="1:11" ht="19.649999999999999" customHeight="1">
      <c r="A37" s="4" t="s">
        <v>24</v>
      </c>
      <c r="B37" s="4" t="s">
        <v>82</v>
      </c>
      <c r="C37" s="4" t="s">
        <v>28</v>
      </c>
      <c r="D37" s="4" t="s">
        <v>27</v>
      </c>
      <c r="E37" s="4" t="s">
        <v>44</v>
      </c>
      <c r="F37" s="4" t="s">
        <v>53</v>
      </c>
      <c r="G37" s="4" t="s">
        <v>448</v>
      </c>
      <c r="H37" s="4" t="s">
        <v>449</v>
      </c>
      <c r="I37" s="4" t="s">
        <v>32</v>
      </c>
      <c r="J37" s="4" t="s">
        <v>395</v>
      </c>
      <c r="K37" s="4" t="s">
        <v>450</v>
      </c>
    </row>
    <row r="38" spans="1:11" ht="19.649999999999999" customHeight="1">
      <c r="A38" s="4" t="s">
        <v>24</v>
      </c>
      <c r="B38" s="4" t="s">
        <v>82</v>
      </c>
      <c r="C38" s="4" t="s">
        <v>43</v>
      </c>
      <c r="D38" s="4" t="s">
        <v>27</v>
      </c>
      <c r="E38" s="4" t="s">
        <v>45</v>
      </c>
      <c r="F38" s="4" t="s">
        <v>53</v>
      </c>
      <c r="G38" s="4" t="s">
        <v>451</v>
      </c>
      <c r="H38" s="4" t="s">
        <v>452</v>
      </c>
      <c r="I38" s="4" t="s">
        <v>48</v>
      </c>
      <c r="J38" s="4" t="s">
        <v>395</v>
      </c>
      <c r="K38" s="4" t="s">
        <v>453</v>
      </c>
    </row>
    <row r="39" spans="1:11" ht="19.649999999999999" customHeight="1">
      <c r="A39" s="4" t="s">
        <v>24</v>
      </c>
      <c r="B39" s="4" t="s">
        <v>91</v>
      </c>
      <c r="C39" s="4" t="s">
        <v>28</v>
      </c>
      <c r="D39" s="4" t="s">
        <v>27</v>
      </c>
      <c r="E39" s="4" t="s">
        <v>44</v>
      </c>
      <c r="F39" s="4" t="s">
        <v>53</v>
      </c>
      <c r="G39" s="4" t="s">
        <v>454</v>
      </c>
      <c r="H39" s="4" t="s">
        <v>455</v>
      </c>
      <c r="I39" s="4" t="s">
        <v>32</v>
      </c>
      <c r="J39" s="4" t="s">
        <v>395</v>
      </c>
      <c r="K39" s="6" t="s">
        <v>456</v>
      </c>
    </row>
    <row r="40" spans="1:11" ht="19.649999999999999" customHeight="1">
      <c r="A40" s="4" t="s">
        <v>24</v>
      </c>
      <c r="B40" s="4" t="s">
        <v>91</v>
      </c>
      <c r="C40" s="4" t="s">
        <v>83</v>
      </c>
      <c r="D40" s="4" t="s">
        <v>27</v>
      </c>
      <c r="E40" s="4" t="s">
        <v>44</v>
      </c>
      <c r="F40" s="4" t="s">
        <v>34</v>
      </c>
      <c r="G40" s="4" t="s">
        <v>457</v>
      </c>
      <c r="H40" s="4" t="s">
        <v>458</v>
      </c>
      <c r="I40" s="4" t="s">
        <v>32</v>
      </c>
      <c r="J40" s="4" t="s">
        <v>414</v>
      </c>
      <c r="K40" s="4" t="s">
        <v>459</v>
      </c>
    </row>
    <row r="41" spans="1:11" ht="19.649999999999999" customHeight="1">
      <c r="A41" s="4" t="s">
        <v>24</v>
      </c>
      <c r="B41" s="4" t="s">
        <v>91</v>
      </c>
      <c r="C41" s="4" t="s">
        <v>43</v>
      </c>
      <c r="D41" s="4" t="s">
        <v>27</v>
      </c>
      <c r="E41" s="4" t="s">
        <v>45</v>
      </c>
      <c r="F41" s="4" t="s">
        <v>34</v>
      </c>
      <c r="G41" s="4" t="s">
        <v>460</v>
      </c>
      <c r="H41" s="4" t="s">
        <v>461</v>
      </c>
      <c r="I41" s="4" t="s">
        <v>48</v>
      </c>
      <c r="J41" s="4" t="s">
        <v>414</v>
      </c>
      <c r="K41" s="4" t="s">
        <v>462</v>
      </c>
    </row>
    <row r="42" spans="1:11" ht="19.649999999999999" customHeight="1">
      <c r="A42" s="4" t="s">
        <v>24</v>
      </c>
      <c r="B42" s="4" t="s">
        <v>93</v>
      </c>
      <c r="C42" s="4" t="s">
        <v>94</v>
      </c>
      <c r="D42" s="4" t="s">
        <v>27</v>
      </c>
      <c r="E42" s="4" t="s">
        <v>45</v>
      </c>
      <c r="F42" s="4" t="s">
        <v>53</v>
      </c>
      <c r="G42" s="4" t="s">
        <v>463</v>
      </c>
      <c r="H42" s="4" t="s">
        <v>464</v>
      </c>
      <c r="I42" s="4" t="s">
        <v>48</v>
      </c>
      <c r="J42" s="4" t="s">
        <v>395</v>
      </c>
      <c r="K42" s="6" t="s">
        <v>465</v>
      </c>
    </row>
    <row r="43" spans="1:11" ht="19.649999999999999" customHeight="1">
      <c r="A43" s="4" t="s">
        <v>24</v>
      </c>
      <c r="B43" s="4" t="s">
        <v>93</v>
      </c>
      <c r="C43" s="4" t="s">
        <v>28</v>
      </c>
      <c r="D43" s="4" t="s">
        <v>27</v>
      </c>
      <c r="E43" s="4" t="s">
        <v>44</v>
      </c>
      <c r="F43" s="4" t="s">
        <v>53</v>
      </c>
      <c r="G43" s="4" t="s">
        <v>466</v>
      </c>
      <c r="H43" s="4" t="s">
        <v>467</v>
      </c>
      <c r="I43" s="4" t="s">
        <v>32</v>
      </c>
      <c r="J43" s="4" t="s">
        <v>395</v>
      </c>
      <c r="K43" s="4" t="s">
        <v>468</v>
      </c>
    </row>
    <row r="44" spans="1:11" ht="19.649999999999999" customHeight="1">
      <c r="A44" s="4" t="s">
        <v>24</v>
      </c>
      <c r="B44" s="4" t="s">
        <v>93</v>
      </c>
      <c r="C44" s="4" t="s">
        <v>83</v>
      </c>
      <c r="D44" s="4" t="s">
        <v>27</v>
      </c>
      <c r="E44" s="4" t="s">
        <v>44</v>
      </c>
      <c r="F44" s="4" t="s">
        <v>53</v>
      </c>
      <c r="G44" s="4" t="s">
        <v>469</v>
      </c>
      <c r="H44" s="4" t="s">
        <v>470</v>
      </c>
      <c r="I44" s="4" t="s">
        <v>32</v>
      </c>
      <c r="J44" s="4" t="s">
        <v>395</v>
      </c>
      <c r="K44" s="4" t="s">
        <v>471</v>
      </c>
    </row>
    <row r="45" spans="1:11" ht="19.649999999999999" customHeight="1">
      <c r="A45" s="4" t="s">
        <v>24</v>
      </c>
      <c r="B45" s="4" t="s">
        <v>93</v>
      </c>
      <c r="C45" s="4" t="s">
        <v>472</v>
      </c>
      <c r="D45" s="4" t="s">
        <v>27</v>
      </c>
      <c r="E45" s="4" t="s">
        <v>44</v>
      </c>
      <c r="F45" s="4" t="s">
        <v>53</v>
      </c>
      <c r="G45" s="4" t="s">
        <v>473</v>
      </c>
      <c r="H45" s="4" t="s">
        <v>474</v>
      </c>
      <c r="I45" s="4" t="s">
        <v>32</v>
      </c>
      <c r="J45" s="4" t="s">
        <v>395</v>
      </c>
      <c r="K45" s="4" t="s">
        <v>475</v>
      </c>
    </row>
    <row r="46" spans="1:11" ht="19.649999999999999" customHeight="1">
      <c r="A46" s="4" t="s">
        <v>24</v>
      </c>
      <c r="B46" s="4" t="s">
        <v>98</v>
      </c>
      <c r="C46" s="4" t="s">
        <v>83</v>
      </c>
      <c r="D46" s="4" t="s">
        <v>27</v>
      </c>
      <c r="E46" s="4" t="s">
        <v>44</v>
      </c>
      <c r="F46" s="4" t="s">
        <v>34</v>
      </c>
      <c r="G46" s="4" t="s">
        <v>476</v>
      </c>
      <c r="H46" s="4" t="s">
        <v>477</v>
      </c>
      <c r="I46" s="4" t="s">
        <v>32</v>
      </c>
      <c r="J46" s="4" t="s">
        <v>414</v>
      </c>
      <c r="K46" s="4" t="s">
        <v>478</v>
      </c>
    </row>
    <row r="47" spans="1:11" ht="19.649999999999999" customHeight="1">
      <c r="A47" s="4" t="s">
        <v>24</v>
      </c>
      <c r="B47" s="4" t="s">
        <v>98</v>
      </c>
      <c r="C47" s="4" t="s">
        <v>28</v>
      </c>
      <c r="D47" s="4" t="s">
        <v>27</v>
      </c>
      <c r="E47" s="4" t="s">
        <v>44</v>
      </c>
      <c r="F47" s="4" t="s">
        <v>34</v>
      </c>
      <c r="G47" s="4" t="s">
        <v>479</v>
      </c>
      <c r="H47" s="4" t="s">
        <v>480</v>
      </c>
      <c r="I47" s="4" t="s">
        <v>32</v>
      </c>
      <c r="J47" s="4" t="s">
        <v>395</v>
      </c>
      <c r="K47" s="4" t="s">
        <v>481</v>
      </c>
    </row>
    <row r="48" spans="1:11" ht="19.649999999999999" customHeight="1">
      <c r="A48" s="4" t="s">
        <v>24</v>
      </c>
      <c r="B48" s="4" t="s">
        <v>102</v>
      </c>
      <c r="C48" s="4" t="s">
        <v>28</v>
      </c>
      <c r="D48" s="4" t="s">
        <v>27</v>
      </c>
      <c r="E48" s="4" t="s">
        <v>44</v>
      </c>
      <c r="F48" s="4" t="s">
        <v>34</v>
      </c>
      <c r="G48" s="4" t="s">
        <v>482</v>
      </c>
      <c r="H48" s="4" t="s">
        <v>483</v>
      </c>
      <c r="I48" s="4" t="s">
        <v>32</v>
      </c>
      <c r="J48" s="4" t="s">
        <v>414</v>
      </c>
      <c r="K48" s="6" t="s">
        <v>484</v>
      </c>
    </row>
    <row r="49" spans="1:11" ht="19.649999999999999" customHeight="1">
      <c r="A49" s="4" t="s">
        <v>24</v>
      </c>
      <c r="B49" s="4" t="s">
        <v>102</v>
      </c>
      <c r="C49" s="4" t="s">
        <v>83</v>
      </c>
      <c r="D49" s="4" t="s">
        <v>27</v>
      </c>
      <c r="E49" s="4" t="s">
        <v>44</v>
      </c>
      <c r="F49" s="4" t="s">
        <v>34</v>
      </c>
      <c r="G49" s="4" t="s">
        <v>485</v>
      </c>
      <c r="H49" s="4" t="s">
        <v>486</v>
      </c>
      <c r="I49" s="4" t="s">
        <v>32</v>
      </c>
      <c r="J49" s="4" t="s">
        <v>414</v>
      </c>
      <c r="K49" s="4" t="s">
        <v>487</v>
      </c>
    </row>
    <row r="50" spans="1:11" ht="19.649999999999999" customHeight="1">
      <c r="A50" s="4" t="s">
        <v>24</v>
      </c>
      <c r="B50" s="4" t="s">
        <v>102</v>
      </c>
      <c r="C50" s="4" t="s">
        <v>111</v>
      </c>
      <c r="D50" s="4" t="s">
        <v>27</v>
      </c>
      <c r="E50" s="4" t="s">
        <v>112</v>
      </c>
      <c r="F50" s="4" t="s">
        <v>34</v>
      </c>
      <c r="G50" s="4" t="s">
        <v>488</v>
      </c>
      <c r="H50" s="4" t="s">
        <v>489</v>
      </c>
      <c r="I50" s="4" t="s">
        <v>113</v>
      </c>
      <c r="J50" s="4" t="s">
        <v>395</v>
      </c>
      <c r="K50" s="4" t="s">
        <v>490</v>
      </c>
    </row>
    <row r="51" spans="1:11" ht="19.649999999999999" customHeight="1">
      <c r="A51" s="4" t="s">
        <v>24</v>
      </c>
      <c r="B51" s="4" t="s">
        <v>106</v>
      </c>
      <c r="C51" s="4" t="s">
        <v>28</v>
      </c>
      <c r="D51" s="4" t="s">
        <v>27</v>
      </c>
      <c r="E51" s="4" t="s">
        <v>44</v>
      </c>
      <c r="F51" s="4" t="s">
        <v>53</v>
      </c>
      <c r="G51" s="4" t="s">
        <v>491</v>
      </c>
      <c r="H51" s="4" t="s">
        <v>492</v>
      </c>
      <c r="I51" s="4" t="s">
        <v>32</v>
      </c>
      <c r="J51" s="4" t="s">
        <v>395</v>
      </c>
      <c r="K51" s="6" t="s">
        <v>493</v>
      </c>
    </row>
    <row r="52" spans="1:11" ht="19.649999999999999" customHeight="1">
      <c r="A52" s="4" t="s">
        <v>24</v>
      </c>
      <c r="B52" s="4" t="s">
        <v>106</v>
      </c>
      <c r="C52" s="4" t="s">
        <v>83</v>
      </c>
      <c r="D52" s="4" t="s">
        <v>27</v>
      </c>
      <c r="E52" s="4" t="s">
        <v>44</v>
      </c>
      <c r="F52" s="4" t="s">
        <v>53</v>
      </c>
      <c r="G52" s="4" t="s">
        <v>494</v>
      </c>
      <c r="H52" s="4" t="s">
        <v>495</v>
      </c>
      <c r="I52" s="4" t="s">
        <v>32</v>
      </c>
      <c r="J52" s="4" t="s">
        <v>395</v>
      </c>
      <c r="K52" s="4" t="s">
        <v>496</v>
      </c>
    </row>
    <row r="53" spans="1:11" ht="19.649999999999999" customHeight="1">
      <c r="A53" s="4" t="s">
        <v>24</v>
      </c>
      <c r="B53" s="4" t="s">
        <v>106</v>
      </c>
      <c r="C53" s="4" t="s">
        <v>472</v>
      </c>
      <c r="D53" s="4" t="s">
        <v>27</v>
      </c>
      <c r="E53" s="4" t="s">
        <v>44</v>
      </c>
      <c r="F53" s="4" t="s">
        <v>53</v>
      </c>
      <c r="G53" s="4" t="s">
        <v>497</v>
      </c>
      <c r="H53" s="4" t="s">
        <v>498</v>
      </c>
      <c r="I53" s="4" t="s">
        <v>32</v>
      </c>
      <c r="J53" s="4" t="s">
        <v>395</v>
      </c>
      <c r="K53" s="4" t="s">
        <v>499</v>
      </c>
    </row>
    <row r="54" spans="1:11" ht="19.649999999999999" customHeight="1">
      <c r="A54" s="4" t="s">
        <v>24</v>
      </c>
      <c r="B54" s="4" t="s">
        <v>106</v>
      </c>
      <c r="C54" s="4" t="s">
        <v>43</v>
      </c>
      <c r="D54" s="4" t="s">
        <v>27</v>
      </c>
      <c r="E54" s="4" t="s">
        <v>45</v>
      </c>
      <c r="F54" s="4" t="s">
        <v>34</v>
      </c>
      <c r="G54" s="4" t="s">
        <v>500</v>
      </c>
      <c r="H54" s="4" t="s">
        <v>501</v>
      </c>
      <c r="I54" s="4" t="s">
        <v>48</v>
      </c>
      <c r="J54" s="4" t="s">
        <v>414</v>
      </c>
      <c r="K54" s="4" t="s">
        <v>502</v>
      </c>
    </row>
    <row r="55" spans="1:11" ht="19.649999999999999" customHeight="1">
      <c r="A55" s="4" t="s">
        <v>24</v>
      </c>
      <c r="B55" s="4" t="s">
        <v>110</v>
      </c>
      <c r="C55" s="4" t="s">
        <v>111</v>
      </c>
      <c r="D55" s="4" t="s">
        <v>27</v>
      </c>
      <c r="E55" s="4" t="s">
        <v>112</v>
      </c>
      <c r="F55" s="4" t="s">
        <v>53</v>
      </c>
      <c r="G55" s="4" t="s">
        <v>503</v>
      </c>
      <c r="H55" s="4" t="s">
        <v>504</v>
      </c>
      <c r="I55" s="4" t="s">
        <v>113</v>
      </c>
      <c r="J55" s="4" t="s">
        <v>395</v>
      </c>
      <c r="K55" s="6" t="s">
        <v>505</v>
      </c>
    </row>
    <row r="56" spans="1:11" ht="19.649999999999999" customHeight="1">
      <c r="A56" s="4" t="s">
        <v>24</v>
      </c>
      <c r="B56" s="4" t="s">
        <v>115</v>
      </c>
      <c r="C56" s="4" t="s">
        <v>83</v>
      </c>
      <c r="D56" s="4" t="s">
        <v>27</v>
      </c>
      <c r="E56" s="4" t="s">
        <v>44</v>
      </c>
      <c r="F56" s="4" t="s">
        <v>53</v>
      </c>
      <c r="G56" s="4" t="s">
        <v>506</v>
      </c>
      <c r="H56" s="4" t="s">
        <v>507</v>
      </c>
      <c r="I56" s="4" t="s">
        <v>32</v>
      </c>
      <c r="J56" s="4" t="s">
        <v>395</v>
      </c>
      <c r="K56" s="6" t="s">
        <v>508</v>
      </c>
    </row>
    <row r="57" spans="1:11" ht="19.649999999999999" customHeight="1">
      <c r="A57" s="4" t="s">
        <v>24</v>
      </c>
      <c r="B57" s="4" t="s">
        <v>115</v>
      </c>
      <c r="C57" s="4" t="s">
        <v>43</v>
      </c>
      <c r="D57" s="4" t="s">
        <v>27</v>
      </c>
      <c r="E57" s="4" t="s">
        <v>45</v>
      </c>
      <c r="F57" s="4" t="s">
        <v>53</v>
      </c>
      <c r="G57" s="4" t="s">
        <v>509</v>
      </c>
      <c r="H57" s="4" t="s">
        <v>510</v>
      </c>
      <c r="I57" s="4" t="s">
        <v>32</v>
      </c>
      <c r="J57" s="4" t="s">
        <v>395</v>
      </c>
      <c r="K57" s="4" t="s">
        <v>511</v>
      </c>
    </row>
    <row r="58" spans="1:11" ht="19.649999999999999" customHeight="1">
      <c r="A58" s="4" t="s">
        <v>24</v>
      </c>
      <c r="B58" s="4" t="s">
        <v>115</v>
      </c>
      <c r="C58" s="4" t="s">
        <v>28</v>
      </c>
      <c r="D58" s="4" t="s">
        <v>27</v>
      </c>
      <c r="E58" s="4" t="s">
        <v>44</v>
      </c>
      <c r="F58" s="4" t="s">
        <v>53</v>
      </c>
      <c r="G58" s="4" t="s">
        <v>512</v>
      </c>
      <c r="H58" s="4" t="s">
        <v>513</v>
      </c>
      <c r="I58" s="4" t="s">
        <v>32</v>
      </c>
      <c r="J58" s="4" t="s">
        <v>395</v>
      </c>
      <c r="K58" s="4" t="s">
        <v>514</v>
      </c>
    </row>
    <row r="59" spans="1:11" ht="19.649999999999999" customHeight="1">
      <c r="A59" s="4" t="s">
        <v>24</v>
      </c>
      <c r="B59" s="4" t="s">
        <v>118</v>
      </c>
      <c r="C59" s="4" t="s">
        <v>83</v>
      </c>
      <c r="D59" s="4" t="s">
        <v>27</v>
      </c>
      <c r="E59" s="4" t="s">
        <v>44</v>
      </c>
      <c r="F59" s="4" t="s">
        <v>53</v>
      </c>
      <c r="G59" s="4" t="s">
        <v>515</v>
      </c>
      <c r="H59" s="4" t="s">
        <v>516</v>
      </c>
      <c r="I59" s="4" t="s">
        <v>120</v>
      </c>
      <c r="J59" s="4" t="s">
        <v>395</v>
      </c>
      <c r="K59" s="6" t="s">
        <v>517</v>
      </c>
    </row>
    <row r="60" spans="1:11" ht="19.649999999999999" customHeight="1">
      <c r="A60" s="4" t="s">
        <v>24</v>
      </c>
      <c r="B60" s="4" t="s">
        <v>118</v>
      </c>
      <c r="C60" s="4" t="s">
        <v>43</v>
      </c>
      <c r="D60" s="4" t="s">
        <v>27</v>
      </c>
      <c r="E60" s="4" t="s">
        <v>45</v>
      </c>
      <c r="F60" s="4" t="s">
        <v>34</v>
      </c>
      <c r="G60" s="4" t="s">
        <v>518</v>
      </c>
      <c r="H60" s="4" t="s">
        <v>519</v>
      </c>
      <c r="I60" s="4" t="s">
        <v>48</v>
      </c>
      <c r="J60" s="4" t="s">
        <v>350</v>
      </c>
      <c r="K60" s="4" t="s">
        <v>520</v>
      </c>
    </row>
    <row r="61" spans="1:11" ht="19.649999999999999" customHeight="1">
      <c r="A61" s="4" t="s">
        <v>24</v>
      </c>
      <c r="B61" s="4" t="s">
        <v>122</v>
      </c>
      <c r="C61" s="4" t="s">
        <v>28</v>
      </c>
      <c r="D61" s="4" t="s">
        <v>27</v>
      </c>
      <c r="E61" s="4" t="s">
        <v>44</v>
      </c>
      <c r="F61" s="4" t="s">
        <v>34</v>
      </c>
      <c r="G61" s="4" t="s">
        <v>522</v>
      </c>
      <c r="H61" s="4" t="s">
        <v>523</v>
      </c>
      <c r="I61" s="4" t="s">
        <v>32</v>
      </c>
      <c r="J61" s="4" t="s">
        <v>350</v>
      </c>
      <c r="K61" s="6" t="s">
        <v>524</v>
      </c>
    </row>
    <row r="62" spans="1:11" ht="19.649999999999999" customHeight="1">
      <c r="A62" s="4" t="s">
        <v>24</v>
      </c>
      <c r="B62" s="4" t="s">
        <v>122</v>
      </c>
      <c r="C62" s="4" t="s">
        <v>83</v>
      </c>
      <c r="D62" s="4" t="s">
        <v>27</v>
      </c>
      <c r="E62" s="4" t="s">
        <v>44</v>
      </c>
      <c r="F62" s="4" t="s">
        <v>34</v>
      </c>
      <c r="G62" s="4" t="s">
        <v>525</v>
      </c>
      <c r="H62" s="4" t="s">
        <v>526</v>
      </c>
      <c r="I62" s="4" t="s">
        <v>32</v>
      </c>
      <c r="J62" s="4" t="s">
        <v>350</v>
      </c>
      <c r="K62" s="4" t="s">
        <v>527</v>
      </c>
    </row>
    <row r="63" spans="1:11" ht="19.649999999999999" customHeight="1">
      <c r="A63" s="4" t="s">
        <v>24</v>
      </c>
      <c r="B63" s="4" t="s">
        <v>122</v>
      </c>
      <c r="C63" s="4" t="s">
        <v>43</v>
      </c>
      <c r="D63" s="4" t="s">
        <v>27</v>
      </c>
      <c r="E63" s="4" t="s">
        <v>45</v>
      </c>
      <c r="F63" s="4" t="s">
        <v>34</v>
      </c>
      <c r="G63" s="4" t="s">
        <v>528</v>
      </c>
      <c r="H63" s="4" t="s">
        <v>529</v>
      </c>
      <c r="I63" s="4" t="s">
        <v>48</v>
      </c>
      <c r="J63" s="4" t="s">
        <v>350</v>
      </c>
      <c r="K63" s="4" t="s">
        <v>530</v>
      </c>
    </row>
    <row r="64" spans="1:11" ht="19.649999999999999" customHeight="1">
      <c r="A64" s="4" t="s">
        <v>24</v>
      </c>
      <c r="B64" s="4" t="s">
        <v>122</v>
      </c>
      <c r="C64" s="4" t="s">
        <v>111</v>
      </c>
      <c r="D64" s="4" t="s">
        <v>27</v>
      </c>
      <c r="E64" s="4" t="s">
        <v>112</v>
      </c>
      <c r="F64" s="4" t="s">
        <v>34</v>
      </c>
      <c r="G64" s="4" t="s">
        <v>531</v>
      </c>
      <c r="H64" s="4" t="s">
        <v>532</v>
      </c>
      <c r="I64" s="4" t="s">
        <v>113</v>
      </c>
      <c r="J64" s="4" t="s">
        <v>350</v>
      </c>
      <c r="K64" s="4" t="s">
        <v>533</v>
      </c>
    </row>
    <row r="65" spans="1:11" ht="19.649999999999999" customHeight="1">
      <c r="A65" s="4" t="s">
        <v>24</v>
      </c>
      <c r="B65" s="4" t="s">
        <v>129</v>
      </c>
      <c r="C65" s="4" t="s">
        <v>43</v>
      </c>
      <c r="D65" s="4" t="s">
        <v>27</v>
      </c>
      <c r="E65" s="4" t="s">
        <v>45</v>
      </c>
      <c r="F65" s="4" t="s">
        <v>53</v>
      </c>
      <c r="G65" s="4" t="s">
        <v>534</v>
      </c>
      <c r="H65" s="4" t="s">
        <v>535</v>
      </c>
      <c r="I65" s="4" t="s">
        <v>48</v>
      </c>
      <c r="J65" s="4" t="s">
        <v>350</v>
      </c>
      <c r="K65" s="6" t="s">
        <v>536</v>
      </c>
    </row>
    <row r="66" spans="1:11" ht="19.649999999999999" customHeight="1">
      <c r="A66" s="4" t="s">
        <v>24</v>
      </c>
      <c r="B66" s="4" t="s">
        <v>129</v>
      </c>
      <c r="C66" s="4" t="s">
        <v>83</v>
      </c>
      <c r="D66" s="4" t="s">
        <v>27</v>
      </c>
      <c r="E66" s="4" t="s">
        <v>44</v>
      </c>
      <c r="F66" s="4" t="s">
        <v>34</v>
      </c>
      <c r="G66" s="4" t="s">
        <v>537</v>
      </c>
      <c r="H66" s="4" t="s">
        <v>538</v>
      </c>
      <c r="I66" s="4" t="s">
        <v>32</v>
      </c>
      <c r="J66" s="4" t="s">
        <v>521</v>
      </c>
      <c r="K66" s="4" t="s">
        <v>539</v>
      </c>
    </row>
    <row r="67" spans="1:11" ht="19.649999999999999" customHeight="1">
      <c r="A67" s="4" t="s">
        <v>24</v>
      </c>
      <c r="B67" s="4" t="s">
        <v>131</v>
      </c>
      <c r="C67" s="4" t="s">
        <v>111</v>
      </c>
      <c r="D67" s="4" t="s">
        <v>27</v>
      </c>
      <c r="E67" s="4" t="s">
        <v>112</v>
      </c>
      <c r="F67" s="4" t="s">
        <v>53</v>
      </c>
      <c r="G67" s="4" t="s">
        <v>540</v>
      </c>
      <c r="H67" s="4" t="s">
        <v>541</v>
      </c>
      <c r="I67" s="4" t="s">
        <v>113</v>
      </c>
      <c r="J67" s="4" t="s">
        <v>542</v>
      </c>
      <c r="K67" s="6" t="s">
        <v>543</v>
      </c>
    </row>
    <row r="68" spans="1:11" ht="19.649999999999999" customHeight="1">
      <c r="A68" s="4" t="s">
        <v>24</v>
      </c>
      <c r="B68" s="4" t="s">
        <v>131</v>
      </c>
      <c r="C68" s="4" t="s">
        <v>139</v>
      </c>
      <c r="D68" s="4" t="s">
        <v>27</v>
      </c>
      <c r="E68" s="4" t="s">
        <v>112</v>
      </c>
      <c r="F68" s="4" t="s">
        <v>53</v>
      </c>
      <c r="G68" s="4" t="s">
        <v>544</v>
      </c>
      <c r="H68" s="4" t="s">
        <v>545</v>
      </c>
      <c r="I68" s="4" t="s">
        <v>120</v>
      </c>
      <c r="J68" s="4" t="s">
        <v>542</v>
      </c>
      <c r="K68" s="4" t="s">
        <v>546</v>
      </c>
    </row>
    <row r="69" spans="1:11" ht="19.649999999999999" customHeight="1">
      <c r="A69" s="4" t="s">
        <v>24</v>
      </c>
      <c r="B69" s="4" t="s">
        <v>131</v>
      </c>
      <c r="C69" s="4" t="s">
        <v>28</v>
      </c>
      <c r="D69" s="4" t="s">
        <v>27</v>
      </c>
      <c r="E69" s="4" t="s">
        <v>44</v>
      </c>
      <c r="F69" s="4" t="s">
        <v>53</v>
      </c>
      <c r="G69" s="4" t="s">
        <v>547</v>
      </c>
      <c r="H69" s="4" t="s">
        <v>548</v>
      </c>
      <c r="I69" s="4" t="s">
        <v>113</v>
      </c>
      <c r="J69" s="4" t="s">
        <v>542</v>
      </c>
      <c r="K69" s="4" t="s">
        <v>549</v>
      </c>
    </row>
    <row r="70" spans="1:11" ht="19.649999999999999" customHeight="1">
      <c r="A70" s="4" t="s">
        <v>24</v>
      </c>
      <c r="B70" s="4" t="s">
        <v>135</v>
      </c>
      <c r="C70" s="4" t="s">
        <v>94</v>
      </c>
      <c r="D70" s="4" t="s">
        <v>27</v>
      </c>
      <c r="E70" s="4" t="s">
        <v>45</v>
      </c>
      <c r="F70" s="4" t="s">
        <v>53</v>
      </c>
      <c r="G70" s="4" t="s">
        <v>550</v>
      </c>
      <c r="H70" s="4" t="s">
        <v>551</v>
      </c>
      <c r="I70" s="4" t="s">
        <v>48</v>
      </c>
      <c r="J70" s="4" t="s">
        <v>395</v>
      </c>
      <c r="K70" s="6" t="s">
        <v>552</v>
      </c>
    </row>
    <row r="71" spans="1:11" ht="19.649999999999999" customHeight="1">
      <c r="A71" s="4" t="s">
        <v>24</v>
      </c>
      <c r="B71" s="4" t="s">
        <v>135</v>
      </c>
      <c r="C71" s="4" t="s">
        <v>83</v>
      </c>
      <c r="D71" s="4" t="s">
        <v>27</v>
      </c>
      <c r="E71" s="4" t="s">
        <v>44</v>
      </c>
      <c r="F71" s="4" t="s">
        <v>34</v>
      </c>
      <c r="G71" s="4" t="s">
        <v>553</v>
      </c>
      <c r="H71" s="4" t="s">
        <v>554</v>
      </c>
      <c r="I71" s="4" t="s">
        <v>48</v>
      </c>
      <c r="J71" s="4" t="s">
        <v>395</v>
      </c>
      <c r="K71" s="4" t="s">
        <v>555</v>
      </c>
    </row>
    <row r="72" spans="1:11" ht="19.649999999999999" customHeight="1">
      <c r="A72" s="4" t="s">
        <v>24</v>
      </c>
      <c r="B72" s="4" t="s">
        <v>135</v>
      </c>
      <c r="C72" s="4" t="s">
        <v>28</v>
      </c>
      <c r="D72" s="4" t="s">
        <v>27</v>
      </c>
      <c r="E72" s="4" t="s">
        <v>44</v>
      </c>
      <c r="F72" s="4" t="s">
        <v>34</v>
      </c>
      <c r="G72" s="4" t="s">
        <v>556</v>
      </c>
      <c r="H72" s="4" t="s">
        <v>557</v>
      </c>
      <c r="I72" s="4" t="s">
        <v>48</v>
      </c>
      <c r="J72" s="4" t="s">
        <v>395</v>
      </c>
      <c r="K72" s="4" t="s">
        <v>558</v>
      </c>
    </row>
    <row r="73" spans="1:11" ht="19.649999999999999" customHeight="1">
      <c r="A73" s="4" t="s">
        <v>24</v>
      </c>
      <c r="B73" s="4" t="s">
        <v>138</v>
      </c>
      <c r="C73" s="4" t="s">
        <v>111</v>
      </c>
      <c r="D73" s="4" t="s">
        <v>27</v>
      </c>
      <c r="E73" s="4" t="s">
        <v>112</v>
      </c>
      <c r="F73" s="4" t="s">
        <v>53</v>
      </c>
      <c r="G73" s="4" t="s">
        <v>559</v>
      </c>
      <c r="H73" s="4" t="s">
        <v>560</v>
      </c>
      <c r="I73" s="4" t="s">
        <v>113</v>
      </c>
      <c r="J73" s="4" t="s">
        <v>395</v>
      </c>
      <c r="K73" s="6" t="s">
        <v>561</v>
      </c>
    </row>
    <row r="74" spans="1:11" ht="19.649999999999999" customHeight="1">
      <c r="A74" s="4" t="s">
        <v>24</v>
      </c>
      <c r="B74" s="4" t="s">
        <v>138</v>
      </c>
      <c r="C74" s="4" t="s">
        <v>139</v>
      </c>
      <c r="D74" s="4" t="s">
        <v>27</v>
      </c>
      <c r="E74" s="4" t="s">
        <v>112</v>
      </c>
      <c r="F74" s="4" t="s">
        <v>53</v>
      </c>
      <c r="G74" s="4" t="s">
        <v>562</v>
      </c>
      <c r="H74" s="4" t="s">
        <v>563</v>
      </c>
      <c r="I74" s="4" t="s">
        <v>120</v>
      </c>
      <c r="J74" s="4" t="s">
        <v>395</v>
      </c>
      <c r="K74" s="4" t="s">
        <v>564</v>
      </c>
    </row>
    <row r="75" spans="1:11" ht="19.649999999999999" customHeight="1">
      <c r="A75" s="4" t="s">
        <v>24</v>
      </c>
      <c r="B75" s="4" t="s">
        <v>142</v>
      </c>
      <c r="C75" s="4" t="s">
        <v>60</v>
      </c>
      <c r="D75" s="4" t="s">
        <v>27</v>
      </c>
      <c r="E75" s="4" t="s">
        <v>45</v>
      </c>
      <c r="F75" s="4" t="s">
        <v>53</v>
      </c>
      <c r="G75" s="4" t="s">
        <v>565</v>
      </c>
      <c r="H75" s="4" t="s">
        <v>566</v>
      </c>
      <c r="I75" s="4" t="s">
        <v>48</v>
      </c>
      <c r="J75" s="4" t="s">
        <v>395</v>
      </c>
      <c r="K75" s="6" t="s">
        <v>567</v>
      </c>
    </row>
    <row r="76" spans="1:11" ht="19.649999999999999" customHeight="1">
      <c r="A76" s="4" t="s">
        <v>24</v>
      </c>
      <c r="B76" s="4" t="s">
        <v>152</v>
      </c>
      <c r="C76" s="4" t="s">
        <v>153</v>
      </c>
      <c r="D76" s="4" t="s">
        <v>27</v>
      </c>
      <c r="E76" s="4" t="s">
        <v>44</v>
      </c>
      <c r="F76" s="4" t="s">
        <v>53</v>
      </c>
      <c r="G76" s="4" t="s">
        <v>568</v>
      </c>
      <c r="H76" s="4" t="s">
        <v>569</v>
      </c>
      <c r="I76" s="4" t="s">
        <v>32</v>
      </c>
      <c r="J76" s="4" t="s">
        <v>395</v>
      </c>
      <c r="K76" s="6" t="s">
        <v>570</v>
      </c>
    </row>
    <row r="77" spans="1:11" ht="19.649999999999999" customHeight="1">
      <c r="A77" s="4" t="s">
        <v>24</v>
      </c>
      <c r="B77" s="4" t="s">
        <v>152</v>
      </c>
      <c r="C77" s="4" t="s">
        <v>191</v>
      </c>
      <c r="D77" s="4" t="s">
        <v>27</v>
      </c>
      <c r="E77" s="4" t="s">
        <v>45</v>
      </c>
      <c r="F77" s="4" t="s">
        <v>53</v>
      </c>
      <c r="G77" s="4" t="s">
        <v>571</v>
      </c>
      <c r="H77" s="4" t="s">
        <v>572</v>
      </c>
      <c r="I77" s="4" t="s">
        <v>48</v>
      </c>
      <c r="J77" s="4" t="s">
        <v>395</v>
      </c>
      <c r="K77" s="4" t="s">
        <v>573</v>
      </c>
    </row>
    <row r="78" spans="1:11" ht="19.649999999999999" customHeight="1">
      <c r="A78" s="4" t="s">
        <v>24</v>
      </c>
      <c r="B78" s="4" t="s">
        <v>152</v>
      </c>
      <c r="C78" s="4" t="s">
        <v>216</v>
      </c>
      <c r="D78" s="4" t="s">
        <v>27</v>
      </c>
      <c r="E78" s="4" t="s">
        <v>44</v>
      </c>
      <c r="F78" s="4" t="s">
        <v>53</v>
      </c>
      <c r="G78" s="4" t="s">
        <v>574</v>
      </c>
      <c r="H78" s="4" t="s">
        <v>575</v>
      </c>
      <c r="I78" s="4" t="s">
        <v>32</v>
      </c>
      <c r="J78" s="4" t="s">
        <v>395</v>
      </c>
      <c r="K78" s="4" t="s">
        <v>576</v>
      </c>
    </row>
    <row r="79" spans="1:11" ht="19.649999999999999" customHeight="1">
      <c r="A79" s="4" t="s">
        <v>24</v>
      </c>
      <c r="B79" s="4" t="s">
        <v>157</v>
      </c>
      <c r="C79" s="4" t="s">
        <v>43</v>
      </c>
      <c r="D79" s="4" t="s">
        <v>27</v>
      </c>
      <c r="E79" s="4" t="s">
        <v>45</v>
      </c>
      <c r="F79" s="4" t="s">
        <v>53</v>
      </c>
      <c r="G79" s="4" t="s">
        <v>577</v>
      </c>
      <c r="H79" s="4" t="s">
        <v>578</v>
      </c>
      <c r="I79" s="4" t="s">
        <v>48</v>
      </c>
      <c r="J79" s="4" t="s">
        <v>395</v>
      </c>
      <c r="K79" s="6" t="s">
        <v>579</v>
      </c>
    </row>
    <row r="80" spans="1:11" ht="19.649999999999999" customHeight="1">
      <c r="A80" s="4" t="s">
        <v>24</v>
      </c>
      <c r="B80" s="4" t="s">
        <v>157</v>
      </c>
      <c r="C80" s="4" t="s">
        <v>28</v>
      </c>
      <c r="D80" s="4" t="s">
        <v>27</v>
      </c>
      <c r="E80" s="4" t="s">
        <v>44</v>
      </c>
      <c r="F80" s="4" t="s">
        <v>53</v>
      </c>
      <c r="G80" s="4" t="s">
        <v>580</v>
      </c>
      <c r="H80" s="4" t="s">
        <v>581</v>
      </c>
      <c r="I80" s="4" t="s">
        <v>48</v>
      </c>
      <c r="J80" s="4" t="s">
        <v>395</v>
      </c>
      <c r="K80" s="4" t="s">
        <v>582</v>
      </c>
    </row>
    <row r="81" spans="1:11" ht="19.649999999999999" customHeight="1">
      <c r="A81" s="4" t="s">
        <v>24</v>
      </c>
      <c r="B81" s="4" t="s">
        <v>159</v>
      </c>
      <c r="C81" s="4" t="s">
        <v>43</v>
      </c>
      <c r="D81" s="4" t="s">
        <v>27</v>
      </c>
      <c r="E81" s="4" t="s">
        <v>45</v>
      </c>
      <c r="F81" s="4" t="s">
        <v>53</v>
      </c>
      <c r="G81" s="4" t="s">
        <v>583</v>
      </c>
      <c r="H81" s="4" t="s">
        <v>584</v>
      </c>
      <c r="I81" s="4" t="s">
        <v>48</v>
      </c>
      <c r="J81" s="4" t="s">
        <v>395</v>
      </c>
      <c r="K81" s="6" t="s">
        <v>585</v>
      </c>
    </row>
    <row r="82" spans="1:11" ht="19.649999999999999" customHeight="1">
      <c r="A82" s="4" t="s">
        <v>24</v>
      </c>
      <c r="B82" s="4" t="s">
        <v>159</v>
      </c>
      <c r="C82" s="4" t="s">
        <v>28</v>
      </c>
      <c r="D82" s="4" t="s">
        <v>27</v>
      </c>
      <c r="E82" s="4" t="s">
        <v>44</v>
      </c>
      <c r="F82" s="4" t="s">
        <v>34</v>
      </c>
      <c r="G82" s="4" t="s">
        <v>586</v>
      </c>
      <c r="H82" s="4" t="s">
        <v>587</v>
      </c>
      <c r="I82" s="4" t="s">
        <v>32</v>
      </c>
      <c r="J82" s="4" t="s">
        <v>395</v>
      </c>
      <c r="K82" s="4" t="s">
        <v>588</v>
      </c>
    </row>
    <row r="83" spans="1:11" ht="19.649999999999999" customHeight="1">
      <c r="A83" s="4" t="s">
        <v>24</v>
      </c>
      <c r="B83" s="4" t="s">
        <v>161</v>
      </c>
      <c r="C83" s="4" t="s">
        <v>83</v>
      </c>
      <c r="D83" s="4" t="s">
        <v>27</v>
      </c>
      <c r="E83" s="4" t="s">
        <v>44</v>
      </c>
      <c r="F83" s="4" t="s">
        <v>53</v>
      </c>
      <c r="G83" s="4" t="s">
        <v>589</v>
      </c>
      <c r="H83" s="4" t="s">
        <v>590</v>
      </c>
      <c r="I83" s="4" t="s">
        <v>32</v>
      </c>
      <c r="J83" s="4" t="s">
        <v>395</v>
      </c>
      <c r="K83" s="6" t="s">
        <v>591</v>
      </c>
    </row>
    <row r="84" spans="1:11" ht="19.649999999999999" customHeight="1">
      <c r="A84" s="4" t="s">
        <v>24</v>
      </c>
      <c r="B84" s="4" t="s">
        <v>161</v>
      </c>
      <c r="C84" s="4" t="s">
        <v>28</v>
      </c>
      <c r="D84" s="4" t="s">
        <v>27</v>
      </c>
      <c r="E84" s="4" t="s">
        <v>44</v>
      </c>
      <c r="F84" s="4" t="s">
        <v>53</v>
      </c>
      <c r="G84" s="4" t="s">
        <v>592</v>
      </c>
      <c r="H84" s="4" t="s">
        <v>593</v>
      </c>
      <c r="I84" s="4" t="s">
        <v>32</v>
      </c>
      <c r="J84" s="4" t="s">
        <v>395</v>
      </c>
      <c r="K84" s="4" t="s">
        <v>594</v>
      </c>
    </row>
    <row r="85" spans="1:11" ht="19.649999999999999" customHeight="1">
      <c r="A85" s="4" t="s">
        <v>24</v>
      </c>
      <c r="B85" s="4" t="s">
        <v>163</v>
      </c>
      <c r="C85" s="4" t="s">
        <v>83</v>
      </c>
      <c r="D85" s="4" t="s">
        <v>27</v>
      </c>
      <c r="E85" s="4" t="s">
        <v>44</v>
      </c>
      <c r="F85" s="4" t="s">
        <v>53</v>
      </c>
      <c r="G85" s="4" t="s">
        <v>595</v>
      </c>
      <c r="H85" s="4" t="s">
        <v>596</v>
      </c>
      <c r="I85" s="4" t="s">
        <v>32</v>
      </c>
      <c r="J85" s="4" t="s">
        <v>395</v>
      </c>
      <c r="K85" s="6" t="s">
        <v>597</v>
      </c>
    </row>
    <row r="86" spans="1:11" ht="19.649999999999999" customHeight="1">
      <c r="A86" s="4" t="s">
        <v>24</v>
      </c>
      <c r="B86" s="4" t="s">
        <v>163</v>
      </c>
      <c r="C86" s="4" t="s">
        <v>28</v>
      </c>
      <c r="D86" s="4" t="s">
        <v>27</v>
      </c>
      <c r="E86" s="4" t="s">
        <v>44</v>
      </c>
      <c r="F86" s="4" t="s">
        <v>53</v>
      </c>
      <c r="G86" s="4" t="s">
        <v>598</v>
      </c>
      <c r="H86" s="4" t="s">
        <v>599</v>
      </c>
      <c r="I86" s="4" t="s">
        <v>32</v>
      </c>
      <c r="J86" s="4" t="s">
        <v>395</v>
      </c>
      <c r="K86" s="4" t="s">
        <v>600</v>
      </c>
    </row>
    <row r="87" spans="1:11" ht="19.649999999999999" customHeight="1">
      <c r="A87" s="4" t="s">
        <v>24</v>
      </c>
      <c r="B87" s="4" t="s">
        <v>163</v>
      </c>
      <c r="C87" s="4" t="s">
        <v>43</v>
      </c>
      <c r="D87" s="4" t="s">
        <v>27</v>
      </c>
      <c r="E87" s="4" t="s">
        <v>45</v>
      </c>
      <c r="F87" s="4" t="s">
        <v>53</v>
      </c>
      <c r="G87" s="4" t="s">
        <v>601</v>
      </c>
      <c r="H87" s="4" t="s">
        <v>602</v>
      </c>
      <c r="I87" s="4" t="s">
        <v>48</v>
      </c>
      <c r="J87" s="4" t="s">
        <v>395</v>
      </c>
      <c r="K87" s="4" t="s">
        <v>603</v>
      </c>
    </row>
    <row r="88" spans="1:11" ht="19.649999999999999" customHeight="1">
      <c r="A88" s="4" t="s">
        <v>24</v>
      </c>
      <c r="B88" s="4" t="s">
        <v>167</v>
      </c>
      <c r="C88" s="4" t="s">
        <v>28</v>
      </c>
      <c r="D88" s="4" t="s">
        <v>27</v>
      </c>
      <c r="E88" s="4" t="s">
        <v>44</v>
      </c>
      <c r="F88" s="4" t="s">
        <v>53</v>
      </c>
      <c r="G88" s="4" t="s">
        <v>604</v>
      </c>
      <c r="H88" s="4" t="s">
        <v>605</v>
      </c>
      <c r="I88" s="4" t="s">
        <v>32</v>
      </c>
      <c r="J88" s="4" t="s">
        <v>395</v>
      </c>
      <c r="K88" s="6" t="s">
        <v>606</v>
      </c>
    </row>
    <row r="89" spans="1:11" ht="19.649999999999999" customHeight="1">
      <c r="A89" s="4" t="s">
        <v>24</v>
      </c>
      <c r="B89" s="4" t="s">
        <v>167</v>
      </c>
      <c r="C89" s="4" t="s">
        <v>83</v>
      </c>
      <c r="D89" s="4" t="s">
        <v>27</v>
      </c>
      <c r="E89" s="4" t="s">
        <v>44</v>
      </c>
      <c r="F89" s="4" t="s">
        <v>53</v>
      </c>
      <c r="G89" s="4" t="s">
        <v>607</v>
      </c>
      <c r="H89" s="4" t="s">
        <v>608</v>
      </c>
      <c r="I89" s="4" t="s">
        <v>32</v>
      </c>
      <c r="J89" s="4" t="s">
        <v>395</v>
      </c>
      <c r="K89" s="4" t="s">
        <v>609</v>
      </c>
    </row>
    <row r="90" spans="1:11" ht="19.649999999999999" customHeight="1">
      <c r="A90" s="4" t="s">
        <v>24</v>
      </c>
      <c r="B90" s="4" t="s">
        <v>167</v>
      </c>
      <c r="C90" s="4" t="s">
        <v>43</v>
      </c>
      <c r="D90" s="4" t="s">
        <v>27</v>
      </c>
      <c r="E90" s="4" t="s">
        <v>45</v>
      </c>
      <c r="F90" s="4" t="s">
        <v>53</v>
      </c>
      <c r="G90" s="4" t="s">
        <v>610</v>
      </c>
      <c r="H90" s="4" t="s">
        <v>611</v>
      </c>
      <c r="I90" s="4" t="s">
        <v>48</v>
      </c>
      <c r="J90" s="4" t="s">
        <v>395</v>
      </c>
      <c r="K90" s="4" t="s">
        <v>612</v>
      </c>
    </row>
    <row r="91" spans="1:11" ht="19.649999999999999" customHeight="1">
      <c r="A91" s="4" t="s">
        <v>24</v>
      </c>
      <c r="B91" s="4" t="s">
        <v>167</v>
      </c>
      <c r="C91" s="4" t="s">
        <v>111</v>
      </c>
      <c r="D91" s="4" t="s">
        <v>27</v>
      </c>
      <c r="E91" s="4" t="s">
        <v>112</v>
      </c>
      <c r="F91" s="4" t="s">
        <v>34</v>
      </c>
      <c r="G91" s="4" t="s">
        <v>613</v>
      </c>
      <c r="H91" s="4" t="s">
        <v>614</v>
      </c>
      <c r="I91" s="4" t="s">
        <v>113</v>
      </c>
      <c r="J91" s="4" t="s">
        <v>521</v>
      </c>
      <c r="K91" s="4" t="s">
        <v>615</v>
      </c>
    </row>
    <row r="92" spans="1:11" ht="19.649999999999999" customHeight="1">
      <c r="A92" s="4" t="s">
        <v>24</v>
      </c>
      <c r="B92" s="4" t="s">
        <v>167</v>
      </c>
      <c r="C92" s="4" t="s">
        <v>472</v>
      </c>
      <c r="D92" s="4" t="s">
        <v>27</v>
      </c>
      <c r="E92" s="4" t="s">
        <v>44</v>
      </c>
      <c r="F92" s="4" t="s">
        <v>34</v>
      </c>
      <c r="G92" s="4" t="s">
        <v>616</v>
      </c>
      <c r="H92" s="4" t="s">
        <v>617</v>
      </c>
      <c r="I92" s="4" t="s">
        <v>32</v>
      </c>
      <c r="J92" s="4" t="s">
        <v>521</v>
      </c>
      <c r="K92" s="4" t="s">
        <v>618</v>
      </c>
    </row>
    <row r="93" spans="1:11" ht="19.649999999999999" customHeight="1">
      <c r="A93" s="4" t="s">
        <v>24</v>
      </c>
      <c r="B93" s="4" t="s">
        <v>171</v>
      </c>
      <c r="C93" s="4" t="s">
        <v>28</v>
      </c>
      <c r="D93" s="4" t="s">
        <v>27</v>
      </c>
      <c r="E93" s="4" t="s">
        <v>44</v>
      </c>
      <c r="F93" s="4" t="s">
        <v>53</v>
      </c>
      <c r="G93" s="4" t="s">
        <v>619</v>
      </c>
      <c r="H93" s="4" t="s">
        <v>620</v>
      </c>
      <c r="I93" s="4" t="s">
        <v>32</v>
      </c>
      <c r="J93" s="4" t="s">
        <v>395</v>
      </c>
      <c r="K93" s="6" t="s">
        <v>621</v>
      </c>
    </row>
    <row r="94" spans="1:11" ht="19.649999999999999" customHeight="1">
      <c r="A94" s="4" t="s">
        <v>24</v>
      </c>
      <c r="B94" s="4" t="s">
        <v>173</v>
      </c>
      <c r="C94" s="4" t="s">
        <v>28</v>
      </c>
      <c r="D94" s="4" t="s">
        <v>27</v>
      </c>
      <c r="E94" s="4" t="s">
        <v>44</v>
      </c>
      <c r="F94" s="4" t="s">
        <v>53</v>
      </c>
      <c r="G94" s="4" t="s">
        <v>622</v>
      </c>
      <c r="H94" s="4" t="s">
        <v>623</v>
      </c>
      <c r="I94" s="4" t="s">
        <v>32</v>
      </c>
      <c r="J94" s="4" t="s">
        <v>542</v>
      </c>
      <c r="K94" s="6" t="s">
        <v>624</v>
      </c>
    </row>
    <row r="95" spans="1:11" ht="19.649999999999999" customHeight="1">
      <c r="A95" s="4" t="s">
        <v>24</v>
      </c>
      <c r="B95" s="4" t="s">
        <v>175</v>
      </c>
      <c r="C95" s="4" t="s">
        <v>83</v>
      </c>
      <c r="D95" s="4" t="s">
        <v>27</v>
      </c>
      <c r="E95" s="4" t="s">
        <v>44</v>
      </c>
      <c r="F95" s="4" t="s">
        <v>53</v>
      </c>
      <c r="G95" s="4" t="s">
        <v>625</v>
      </c>
      <c r="H95" s="4" t="s">
        <v>626</v>
      </c>
      <c r="I95" s="4" t="s">
        <v>32</v>
      </c>
      <c r="J95" s="4" t="s">
        <v>395</v>
      </c>
      <c r="K95" s="6" t="s">
        <v>627</v>
      </c>
    </row>
    <row r="96" spans="1:11" ht="19.649999999999999" customHeight="1">
      <c r="A96" s="4" t="s">
        <v>24</v>
      </c>
      <c r="B96" s="4" t="s">
        <v>175</v>
      </c>
      <c r="C96" s="4" t="s">
        <v>28</v>
      </c>
      <c r="D96" s="4" t="s">
        <v>27</v>
      </c>
      <c r="E96" s="4" t="s">
        <v>44</v>
      </c>
      <c r="F96" s="4" t="s">
        <v>53</v>
      </c>
      <c r="G96" s="4" t="s">
        <v>628</v>
      </c>
      <c r="H96" s="4" t="s">
        <v>629</v>
      </c>
      <c r="I96" s="4" t="s">
        <v>32</v>
      </c>
      <c r="J96" s="4" t="s">
        <v>395</v>
      </c>
      <c r="K96" s="4" t="s">
        <v>630</v>
      </c>
    </row>
    <row r="97" spans="1:11" ht="19.649999999999999" customHeight="1">
      <c r="A97" s="4" t="s">
        <v>24</v>
      </c>
      <c r="B97" s="4" t="s">
        <v>175</v>
      </c>
      <c r="C97" s="4" t="s">
        <v>43</v>
      </c>
      <c r="D97" s="4" t="s">
        <v>27</v>
      </c>
      <c r="E97" s="4" t="s">
        <v>45</v>
      </c>
      <c r="F97" s="4" t="s">
        <v>53</v>
      </c>
      <c r="G97" s="4" t="s">
        <v>631</v>
      </c>
      <c r="H97" s="4" t="s">
        <v>632</v>
      </c>
      <c r="I97" s="4" t="s">
        <v>48</v>
      </c>
      <c r="J97" s="4" t="s">
        <v>395</v>
      </c>
      <c r="K97" s="4" t="s">
        <v>633</v>
      </c>
    </row>
    <row r="98" spans="1:11" ht="19.649999999999999" customHeight="1">
      <c r="A98" s="4" t="s">
        <v>24</v>
      </c>
      <c r="B98" s="4" t="s">
        <v>177</v>
      </c>
      <c r="C98" s="4" t="s">
        <v>83</v>
      </c>
      <c r="D98" s="4" t="s">
        <v>27</v>
      </c>
      <c r="E98" s="4" t="s">
        <v>44</v>
      </c>
      <c r="F98" s="4" t="s">
        <v>53</v>
      </c>
      <c r="G98" s="4" t="s">
        <v>634</v>
      </c>
      <c r="H98" s="4" t="s">
        <v>635</v>
      </c>
      <c r="I98" s="4" t="s">
        <v>32</v>
      </c>
      <c r="J98" s="4" t="s">
        <v>395</v>
      </c>
      <c r="K98" s="6" t="s">
        <v>636</v>
      </c>
    </row>
    <row r="99" spans="1:11" ht="19.649999999999999" customHeight="1">
      <c r="A99" s="4" t="s">
        <v>24</v>
      </c>
      <c r="B99" s="4" t="s">
        <v>177</v>
      </c>
      <c r="C99" s="4" t="s">
        <v>43</v>
      </c>
      <c r="D99" s="4" t="s">
        <v>27</v>
      </c>
      <c r="E99" s="4" t="s">
        <v>45</v>
      </c>
      <c r="F99" s="4" t="s">
        <v>53</v>
      </c>
      <c r="G99" s="4" t="s">
        <v>637</v>
      </c>
      <c r="H99" s="4" t="s">
        <v>638</v>
      </c>
      <c r="I99" s="4" t="s">
        <v>48</v>
      </c>
      <c r="J99" s="4" t="s">
        <v>395</v>
      </c>
      <c r="K99" s="4" t="s">
        <v>639</v>
      </c>
    </row>
    <row r="100" spans="1:11" ht="19.649999999999999" customHeight="1">
      <c r="A100" s="4" t="s">
        <v>24</v>
      </c>
      <c r="B100" s="4" t="s">
        <v>177</v>
      </c>
      <c r="C100" s="4" t="s">
        <v>94</v>
      </c>
      <c r="D100" s="4" t="s">
        <v>27</v>
      </c>
      <c r="E100" s="4" t="s">
        <v>45</v>
      </c>
      <c r="F100" s="4" t="s">
        <v>53</v>
      </c>
      <c r="G100" s="4" t="s">
        <v>640</v>
      </c>
      <c r="H100" s="4" t="s">
        <v>641</v>
      </c>
      <c r="I100" s="4" t="s">
        <v>48</v>
      </c>
      <c r="J100" s="4" t="s">
        <v>395</v>
      </c>
      <c r="K100" s="4" t="s">
        <v>642</v>
      </c>
    </row>
    <row r="101" spans="1:11" ht="19.649999999999999" customHeight="1">
      <c r="A101" s="4" t="s">
        <v>24</v>
      </c>
      <c r="B101" s="4" t="s">
        <v>177</v>
      </c>
      <c r="C101" s="4" t="s">
        <v>28</v>
      </c>
      <c r="D101" s="4" t="s">
        <v>27</v>
      </c>
      <c r="E101" s="4" t="s">
        <v>44</v>
      </c>
      <c r="F101" s="4" t="s">
        <v>34</v>
      </c>
      <c r="G101" s="4" t="s">
        <v>643</v>
      </c>
      <c r="H101" s="4" t="s">
        <v>644</v>
      </c>
      <c r="I101" s="4" t="s">
        <v>32</v>
      </c>
      <c r="J101" s="4" t="s">
        <v>521</v>
      </c>
      <c r="K101" s="4" t="s">
        <v>645</v>
      </c>
    </row>
    <row r="102" spans="1:11" ht="19.649999999999999" customHeight="1">
      <c r="A102" s="4" t="s">
        <v>24</v>
      </c>
      <c r="B102" s="4" t="s">
        <v>185</v>
      </c>
      <c r="C102" s="4" t="s">
        <v>43</v>
      </c>
      <c r="D102" s="4" t="s">
        <v>27</v>
      </c>
      <c r="E102" s="4" t="s">
        <v>45</v>
      </c>
      <c r="F102" s="4" t="s">
        <v>53</v>
      </c>
      <c r="G102" s="4" t="s">
        <v>646</v>
      </c>
      <c r="H102" s="4" t="s">
        <v>647</v>
      </c>
      <c r="I102" s="4" t="s">
        <v>48</v>
      </c>
      <c r="J102" s="4" t="s">
        <v>395</v>
      </c>
      <c r="K102" s="6" t="s">
        <v>648</v>
      </c>
    </row>
    <row r="103" spans="1:11" ht="19.649999999999999" customHeight="1">
      <c r="A103" s="4" t="s">
        <v>24</v>
      </c>
      <c r="B103" s="4" t="s">
        <v>185</v>
      </c>
      <c r="C103" s="4" t="s">
        <v>28</v>
      </c>
      <c r="D103" s="4" t="s">
        <v>27</v>
      </c>
      <c r="E103" s="4" t="s">
        <v>44</v>
      </c>
      <c r="F103" s="4" t="s">
        <v>34</v>
      </c>
      <c r="G103" s="4" t="s">
        <v>649</v>
      </c>
      <c r="H103" s="4" t="s">
        <v>650</v>
      </c>
      <c r="I103" s="4" t="s">
        <v>48</v>
      </c>
      <c r="J103" s="4" t="s">
        <v>395</v>
      </c>
      <c r="K103" s="4" t="s">
        <v>651</v>
      </c>
    </row>
    <row r="104" spans="1:11" ht="19.649999999999999" customHeight="1">
      <c r="A104" s="4" t="s">
        <v>24</v>
      </c>
      <c r="B104" s="4" t="s">
        <v>185</v>
      </c>
      <c r="C104" s="4" t="s">
        <v>83</v>
      </c>
      <c r="D104" s="4" t="s">
        <v>27</v>
      </c>
      <c r="E104" s="4" t="s">
        <v>44</v>
      </c>
      <c r="F104" s="4" t="s">
        <v>34</v>
      </c>
      <c r="G104" s="4" t="s">
        <v>652</v>
      </c>
      <c r="H104" s="4" t="s">
        <v>653</v>
      </c>
      <c r="I104" s="4" t="s">
        <v>32</v>
      </c>
      <c r="J104" s="4" t="s">
        <v>395</v>
      </c>
      <c r="K104" s="4" t="s">
        <v>654</v>
      </c>
    </row>
    <row r="105" spans="1:11" ht="19.649999999999999" customHeight="1">
      <c r="A105" s="4" t="s">
        <v>24</v>
      </c>
      <c r="B105" s="4" t="s">
        <v>188</v>
      </c>
      <c r="C105" s="4" t="s">
        <v>43</v>
      </c>
      <c r="D105" s="4" t="s">
        <v>27</v>
      </c>
      <c r="E105" s="4" t="s">
        <v>45</v>
      </c>
      <c r="F105" s="4" t="s">
        <v>53</v>
      </c>
      <c r="G105" s="4" t="s">
        <v>655</v>
      </c>
      <c r="H105" s="4" t="s">
        <v>656</v>
      </c>
      <c r="I105" s="4" t="s">
        <v>48</v>
      </c>
      <c r="J105" s="4" t="s">
        <v>395</v>
      </c>
      <c r="K105" s="6" t="s">
        <v>657</v>
      </c>
    </row>
    <row r="106" spans="1:11" ht="19.649999999999999" customHeight="1">
      <c r="A106" s="4" t="s">
        <v>24</v>
      </c>
      <c r="B106" s="4" t="s">
        <v>190</v>
      </c>
      <c r="C106" s="4" t="s">
        <v>191</v>
      </c>
      <c r="D106" s="4" t="s">
        <v>27</v>
      </c>
      <c r="E106" s="4" t="s">
        <v>45</v>
      </c>
      <c r="F106" s="4" t="s">
        <v>53</v>
      </c>
      <c r="G106" s="4" t="s">
        <v>658</v>
      </c>
      <c r="H106" s="4" t="s">
        <v>659</v>
      </c>
      <c r="I106" s="4" t="s">
        <v>32</v>
      </c>
      <c r="J106" s="4" t="s">
        <v>395</v>
      </c>
      <c r="K106" s="6" t="s">
        <v>660</v>
      </c>
    </row>
    <row r="107" spans="1:11" ht="19.649999999999999" customHeight="1">
      <c r="A107" s="4" t="s">
        <v>24</v>
      </c>
      <c r="B107" s="4" t="s">
        <v>193</v>
      </c>
      <c r="C107" s="4" t="s">
        <v>28</v>
      </c>
      <c r="D107" s="4" t="s">
        <v>27</v>
      </c>
      <c r="E107" s="4" t="s">
        <v>44</v>
      </c>
      <c r="F107" s="4" t="s">
        <v>53</v>
      </c>
      <c r="G107" s="4" t="s">
        <v>661</v>
      </c>
      <c r="H107" s="4" t="s">
        <v>662</v>
      </c>
      <c r="I107" s="4" t="s">
        <v>32</v>
      </c>
      <c r="J107" s="4" t="s">
        <v>521</v>
      </c>
      <c r="K107" s="6" t="s">
        <v>663</v>
      </c>
    </row>
    <row r="108" spans="1:11" ht="19.649999999999999" customHeight="1">
      <c r="A108" s="4" t="s">
        <v>24</v>
      </c>
      <c r="B108" s="4" t="s">
        <v>193</v>
      </c>
      <c r="C108" s="4" t="s">
        <v>83</v>
      </c>
      <c r="D108" s="4" t="s">
        <v>27</v>
      </c>
      <c r="E108" s="4" t="s">
        <v>44</v>
      </c>
      <c r="F108" s="4" t="s">
        <v>34</v>
      </c>
      <c r="G108" s="4" t="s">
        <v>664</v>
      </c>
      <c r="H108" s="4" t="s">
        <v>665</v>
      </c>
      <c r="I108" s="4" t="s">
        <v>32</v>
      </c>
      <c r="J108" s="4" t="s">
        <v>521</v>
      </c>
      <c r="K108" s="4" t="s">
        <v>666</v>
      </c>
    </row>
    <row r="109" spans="1:11" ht="19.649999999999999" customHeight="1">
      <c r="A109" s="4" t="s">
        <v>24</v>
      </c>
      <c r="B109" s="4" t="s">
        <v>193</v>
      </c>
      <c r="C109" s="4" t="s">
        <v>43</v>
      </c>
      <c r="D109" s="4" t="s">
        <v>27</v>
      </c>
      <c r="E109" s="4" t="s">
        <v>45</v>
      </c>
      <c r="F109" s="4" t="s">
        <v>34</v>
      </c>
      <c r="G109" s="4" t="s">
        <v>667</v>
      </c>
      <c r="H109" s="4" t="s">
        <v>668</v>
      </c>
      <c r="I109" s="4" t="s">
        <v>48</v>
      </c>
      <c r="J109" s="4" t="s">
        <v>350</v>
      </c>
      <c r="K109" s="4" t="s">
        <v>669</v>
      </c>
    </row>
    <row r="110" spans="1:11" ht="19.649999999999999" customHeight="1">
      <c r="A110" s="4" t="s">
        <v>24</v>
      </c>
      <c r="B110" s="4" t="s">
        <v>196</v>
      </c>
      <c r="C110" s="4" t="s">
        <v>28</v>
      </c>
      <c r="D110" s="4" t="s">
        <v>27</v>
      </c>
      <c r="E110" s="4" t="s">
        <v>44</v>
      </c>
      <c r="F110" s="4" t="s">
        <v>53</v>
      </c>
      <c r="G110" s="4" t="s">
        <v>670</v>
      </c>
      <c r="H110" s="4" t="s">
        <v>671</v>
      </c>
      <c r="I110" s="4" t="s">
        <v>32</v>
      </c>
      <c r="J110" s="4" t="s">
        <v>542</v>
      </c>
      <c r="K110" s="4" t="s">
        <v>672</v>
      </c>
    </row>
    <row r="111" spans="1:11" ht="19.649999999999999" customHeight="1">
      <c r="A111" s="4" t="s">
        <v>24</v>
      </c>
      <c r="B111" s="4" t="s">
        <v>200</v>
      </c>
      <c r="C111" s="4" t="s">
        <v>43</v>
      </c>
      <c r="D111" s="4" t="s">
        <v>27</v>
      </c>
      <c r="E111" s="4" t="s">
        <v>45</v>
      </c>
      <c r="F111" s="4" t="s">
        <v>34</v>
      </c>
      <c r="G111" s="4" t="s">
        <v>673</v>
      </c>
      <c r="H111" s="4" t="s">
        <v>674</v>
      </c>
      <c r="I111" s="4" t="s">
        <v>48</v>
      </c>
      <c r="J111" s="4" t="s">
        <v>521</v>
      </c>
      <c r="K111" s="4" t="s">
        <v>675</v>
      </c>
    </row>
    <row r="112" spans="1:11" ht="19.649999999999999" customHeight="1">
      <c r="A112" s="4" t="s">
        <v>24</v>
      </c>
      <c r="B112" s="4" t="s">
        <v>200</v>
      </c>
      <c r="C112" s="4" t="s">
        <v>83</v>
      </c>
      <c r="D112" s="4" t="s">
        <v>27</v>
      </c>
      <c r="E112" s="4" t="s">
        <v>44</v>
      </c>
      <c r="F112" s="4" t="s">
        <v>34</v>
      </c>
      <c r="G112" s="4" t="s">
        <v>676</v>
      </c>
      <c r="H112" s="4" t="s">
        <v>677</v>
      </c>
      <c r="I112" s="4" t="s">
        <v>32</v>
      </c>
      <c r="J112" s="4" t="s">
        <v>521</v>
      </c>
      <c r="K112" s="4" t="s">
        <v>678</v>
      </c>
    </row>
    <row r="113" spans="1:11" ht="19.649999999999999" customHeight="1">
      <c r="A113" s="4" t="s">
        <v>24</v>
      </c>
      <c r="B113" s="4" t="s">
        <v>200</v>
      </c>
      <c r="C113" s="4" t="s">
        <v>28</v>
      </c>
      <c r="D113" s="4" t="s">
        <v>27</v>
      </c>
      <c r="E113" s="4" t="s">
        <v>44</v>
      </c>
      <c r="F113" s="4" t="s">
        <v>34</v>
      </c>
      <c r="G113" s="4" t="s">
        <v>679</v>
      </c>
      <c r="H113" s="4" t="s">
        <v>680</v>
      </c>
      <c r="I113" s="4" t="s">
        <v>32</v>
      </c>
      <c r="J113" s="4" t="s">
        <v>521</v>
      </c>
      <c r="K113" s="4" t="s">
        <v>681</v>
      </c>
    </row>
    <row r="114" spans="1:11" ht="19.649999999999999" customHeight="1">
      <c r="A114" s="4" t="s">
        <v>24</v>
      </c>
      <c r="B114" s="4" t="s">
        <v>200</v>
      </c>
      <c r="C114" s="4" t="s">
        <v>111</v>
      </c>
      <c r="D114" s="4" t="s">
        <v>27</v>
      </c>
      <c r="E114" s="4" t="s">
        <v>112</v>
      </c>
      <c r="F114" s="4" t="s">
        <v>34</v>
      </c>
      <c r="G114" s="4" t="s">
        <v>682</v>
      </c>
      <c r="H114" s="4" t="s">
        <v>683</v>
      </c>
      <c r="I114" s="4" t="s">
        <v>113</v>
      </c>
      <c r="J114" s="4" t="s">
        <v>521</v>
      </c>
      <c r="K114" s="4" t="s">
        <v>684</v>
      </c>
    </row>
    <row r="115" spans="1:11" ht="19.649999999999999" customHeight="1">
      <c r="A115" s="4" t="s">
        <v>24</v>
      </c>
      <c r="B115" s="4" t="s">
        <v>204</v>
      </c>
      <c r="C115" s="4" t="s">
        <v>43</v>
      </c>
      <c r="D115" s="4" t="s">
        <v>27</v>
      </c>
      <c r="E115" s="4" t="s">
        <v>45</v>
      </c>
      <c r="F115" s="4" t="s">
        <v>53</v>
      </c>
      <c r="G115" s="4" t="s">
        <v>685</v>
      </c>
      <c r="H115" s="4" t="s">
        <v>686</v>
      </c>
      <c r="I115" s="4" t="s">
        <v>48</v>
      </c>
      <c r="J115" s="4" t="s">
        <v>395</v>
      </c>
      <c r="K115" s="4" t="s">
        <v>687</v>
      </c>
    </row>
    <row r="116" spans="1:11" ht="19.649999999999999" customHeight="1">
      <c r="A116" s="4" t="s">
        <v>24</v>
      </c>
      <c r="B116" s="4" t="s">
        <v>204</v>
      </c>
      <c r="C116" s="4" t="s">
        <v>83</v>
      </c>
      <c r="D116" s="4" t="s">
        <v>27</v>
      </c>
      <c r="E116" s="4" t="s">
        <v>44</v>
      </c>
      <c r="F116" s="4" t="s">
        <v>53</v>
      </c>
      <c r="G116" s="4" t="s">
        <v>688</v>
      </c>
      <c r="H116" s="4" t="s">
        <v>689</v>
      </c>
      <c r="I116" s="4" t="s">
        <v>32</v>
      </c>
      <c r="J116" s="4" t="s">
        <v>542</v>
      </c>
      <c r="K116" s="4" t="s">
        <v>690</v>
      </c>
    </row>
    <row r="117" spans="1:11" ht="19.649999999999999" customHeight="1">
      <c r="A117" s="4" t="s">
        <v>24</v>
      </c>
      <c r="B117" s="4" t="s">
        <v>204</v>
      </c>
      <c r="C117" s="4" t="s">
        <v>28</v>
      </c>
      <c r="D117" s="4" t="s">
        <v>27</v>
      </c>
      <c r="E117" s="4" t="s">
        <v>44</v>
      </c>
      <c r="F117" s="4" t="s">
        <v>53</v>
      </c>
      <c r="G117" s="4" t="s">
        <v>691</v>
      </c>
      <c r="H117" s="4" t="s">
        <v>692</v>
      </c>
      <c r="I117" s="4" t="s">
        <v>32</v>
      </c>
      <c r="J117" s="4" t="s">
        <v>542</v>
      </c>
      <c r="K117" s="4" t="s">
        <v>693</v>
      </c>
    </row>
    <row r="118" spans="1:11" ht="19.649999999999999" customHeight="1">
      <c r="A118" s="4" t="s">
        <v>24</v>
      </c>
      <c r="B118" s="4" t="s">
        <v>204</v>
      </c>
      <c r="C118" s="4" t="s">
        <v>153</v>
      </c>
      <c r="D118" s="4" t="s">
        <v>27</v>
      </c>
      <c r="E118" s="4" t="s">
        <v>44</v>
      </c>
      <c r="F118" s="4" t="s">
        <v>34</v>
      </c>
      <c r="G118" s="4" t="s">
        <v>694</v>
      </c>
      <c r="H118" s="4" t="s">
        <v>695</v>
      </c>
      <c r="I118" s="4" t="s">
        <v>32</v>
      </c>
      <c r="J118" s="4" t="s">
        <v>521</v>
      </c>
      <c r="K118" s="4" t="s">
        <v>696</v>
      </c>
    </row>
    <row r="119" spans="1:11" ht="19.649999999999999" customHeight="1">
      <c r="A119" s="4" t="s">
        <v>24</v>
      </c>
      <c r="B119" s="4" t="s">
        <v>208</v>
      </c>
      <c r="C119" s="4" t="s">
        <v>153</v>
      </c>
      <c r="D119" s="4" t="s">
        <v>27</v>
      </c>
      <c r="E119" s="4" t="s">
        <v>44</v>
      </c>
      <c r="F119" s="4" t="s">
        <v>34</v>
      </c>
      <c r="G119" s="4" t="s">
        <v>697</v>
      </c>
      <c r="H119" s="4" t="s">
        <v>698</v>
      </c>
      <c r="I119" s="4" t="s">
        <v>32</v>
      </c>
      <c r="J119" s="4" t="s">
        <v>521</v>
      </c>
      <c r="K119" s="4" t="s">
        <v>699</v>
      </c>
    </row>
    <row r="120" spans="1:11" ht="19.649999999999999" customHeight="1">
      <c r="A120" s="4" t="s">
        <v>24</v>
      </c>
      <c r="B120" s="4" t="s">
        <v>210</v>
      </c>
      <c r="C120" s="4" t="s">
        <v>211</v>
      </c>
      <c r="D120" s="4" t="s">
        <v>27</v>
      </c>
      <c r="E120" s="4" t="s">
        <v>112</v>
      </c>
      <c r="F120" s="4" t="s">
        <v>53</v>
      </c>
      <c r="G120" s="4" t="s">
        <v>700</v>
      </c>
      <c r="H120" s="4" t="s">
        <v>701</v>
      </c>
      <c r="I120" s="4" t="s">
        <v>32</v>
      </c>
      <c r="J120" s="4" t="s">
        <v>702</v>
      </c>
      <c r="K120" s="4" t="s">
        <v>703</v>
      </c>
    </row>
    <row r="121" spans="1:11" ht="19.649999999999999" customHeight="1">
      <c r="A121" s="4" t="s">
        <v>24</v>
      </c>
      <c r="B121" s="4" t="s">
        <v>210</v>
      </c>
      <c r="C121" s="4" t="s">
        <v>211</v>
      </c>
      <c r="D121" s="4" t="s">
        <v>27</v>
      </c>
      <c r="E121" s="4" t="s">
        <v>112</v>
      </c>
      <c r="F121" s="4" t="s">
        <v>53</v>
      </c>
      <c r="G121" s="4" t="s">
        <v>704</v>
      </c>
      <c r="H121" s="4" t="s">
        <v>705</v>
      </c>
      <c r="I121" s="4" t="s">
        <v>32</v>
      </c>
      <c r="J121" s="4" t="s">
        <v>702</v>
      </c>
      <c r="K121" s="4" t="s">
        <v>706</v>
      </c>
    </row>
    <row r="122" spans="1:11" ht="19.649999999999999" customHeight="1">
      <c r="A122" s="4" t="s">
        <v>24</v>
      </c>
      <c r="B122" s="4" t="s">
        <v>213</v>
      </c>
      <c r="C122" s="4" t="s">
        <v>153</v>
      </c>
      <c r="D122" s="4" t="s">
        <v>27</v>
      </c>
      <c r="E122" s="4" t="s">
        <v>44</v>
      </c>
      <c r="F122" s="4" t="s">
        <v>34</v>
      </c>
      <c r="G122" s="4" t="s">
        <v>707</v>
      </c>
      <c r="H122" s="4" t="s">
        <v>708</v>
      </c>
      <c r="I122" s="4" t="s">
        <v>32</v>
      </c>
      <c r="J122" s="4" t="s">
        <v>521</v>
      </c>
      <c r="K122" s="4" t="s">
        <v>709</v>
      </c>
    </row>
    <row r="123" spans="1:11" ht="19.649999999999999" customHeight="1">
      <c r="A123" s="4" t="s">
        <v>24</v>
      </c>
      <c r="B123" s="4" t="s">
        <v>215</v>
      </c>
      <c r="C123" s="4" t="s">
        <v>216</v>
      </c>
      <c r="D123" s="4" t="s">
        <v>27</v>
      </c>
      <c r="E123" s="4" t="s">
        <v>44</v>
      </c>
      <c r="F123" s="4" t="s">
        <v>53</v>
      </c>
      <c r="G123" s="4" t="s">
        <v>710</v>
      </c>
      <c r="H123" s="4" t="s">
        <v>711</v>
      </c>
      <c r="I123" s="4" t="s">
        <v>32</v>
      </c>
      <c r="J123" s="4" t="s">
        <v>395</v>
      </c>
      <c r="K123" s="4" t="s">
        <v>712</v>
      </c>
    </row>
    <row r="124" spans="1:11" ht="19.649999999999999" customHeight="1">
      <c r="A124" s="4" t="s">
        <v>24</v>
      </c>
      <c r="B124" s="4" t="s">
        <v>218</v>
      </c>
      <c r="C124" s="4" t="s">
        <v>191</v>
      </c>
      <c r="D124" s="4" t="s">
        <v>27</v>
      </c>
      <c r="E124" s="4" t="s">
        <v>45</v>
      </c>
      <c r="F124" s="4" t="s">
        <v>53</v>
      </c>
      <c r="G124" s="4" t="s">
        <v>713</v>
      </c>
      <c r="H124" s="4" t="s">
        <v>714</v>
      </c>
      <c r="I124" s="4" t="s">
        <v>48</v>
      </c>
      <c r="J124" s="4" t="s">
        <v>702</v>
      </c>
      <c r="K124" s="4" t="s">
        <v>715</v>
      </c>
    </row>
    <row r="125" spans="1:11" ht="19.649999999999999" customHeight="1">
      <c r="A125" s="4" t="s">
        <v>24</v>
      </c>
      <c r="B125" s="4" t="s">
        <v>220</v>
      </c>
      <c r="C125" s="4" t="s">
        <v>182</v>
      </c>
      <c r="D125" s="4" t="s">
        <v>71</v>
      </c>
      <c r="E125" s="4" t="s">
        <v>183</v>
      </c>
      <c r="F125" s="4" t="s">
        <v>53</v>
      </c>
      <c r="G125" s="4" t="s">
        <v>716</v>
      </c>
      <c r="H125" s="4" t="s">
        <v>717</v>
      </c>
      <c r="I125" s="4" t="s">
        <v>76</v>
      </c>
      <c r="J125" s="4" t="s">
        <v>702</v>
      </c>
      <c r="K125" s="4" t="s">
        <v>718</v>
      </c>
    </row>
    <row r="126" spans="1:11" ht="19.649999999999999" customHeight="1">
      <c r="A126" s="4" t="s">
        <v>24</v>
      </c>
      <c r="B126" s="4" t="s">
        <v>220</v>
      </c>
      <c r="C126" s="4" t="s">
        <v>28</v>
      </c>
      <c r="D126" s="4" t="s">
        <v>27</v>
      </c>
      <c r="E126" s="4" t="s">
        <v>44</v>
      </c>
      <c r="F126" s="4" t="s">
        <v>53</v>
      </c>
      <c r="G126" s="4" t="s">
        <v>719</v>
      </c>
      <c r="H126" s="4" t="s">
        <v>720</v>
      </c>
      <c r="I126" s="4" t="s">
        <v>32</v>
      </c>
      <c r="J126" s="4" t="s">
        <v>542</v>
      </c>
      <c r="K126" s="4" t="s">
        <v>721</v>
      </c>
    </row>
    <row r="127" spans="1:11" ht="19.649999999999999" customHeight="1">
      <c r="A127" s="4" t="s">
        <v>24</v>
      </c>
      <c r="B127" s="4" t="s">
        <v>220</v>
      </c>
      <c r="C127" s="4" t="s">
        <v>83</v>
      </c>
      <c r="D127" s="4" t="s">
        <v>27</v>
      </c>
      <c r="E127" s="4" t="s">
        <v>44</v>
      </c>
      <c r="F127" s="4" t="s">
        <v>53</v>
      </c>
      <c r="G127" s="4" t="s">
        <v>722</v>
      </c>
      <c r="H127" s="4" t="s">
        <v>723</v>
      </c>
      <c r="I127" s="4" t="s">
        <v>32</v>
      </c>
      <c r="J127" s="4" t="s">
        <v>542</v>
      </c>
      <c r="K127" s="4" t="s">
        <v>724</v>
      </c>
    </row>
    <row r="128" spans="1:11" ht="19.649999999999999" customHeight="1">
      <c r="A128" s="4" t="s">
        <v>24</v>
      </c>
      <c r="B128" s="4" t="s">
        <v>224</v>
      </c>
      <c r="C128" s="4" t="s">
        <v>182</v>
      </c>
      <c r="D128" s="4" t="s">
        <v>71</v>
      </c>
      <c r="E128" s="4" t="s">
        <v>183</v>
      </c>
      <c r="F128" s="4" t="s">
        <v>53</v>
      </c>
      <c r="G128" s="4" t="s">
        <v>725</v>
      </c>
      <c r="H128" s="4" t="s">
        <v>726</v>
      </c>
      <c r="I128" s="4" t="s">
        <v>76</v>
      </c>
      <c r="J128" s="4" t="s">
        <v>702</v>
      </c>
      <c r="K128" s="4" t="s">
        <v>727</v>
      </c>
    </row>
    <row r="129" spans="1:11" ht="19.649999999999999" customHeight="1">
      <c r="A129" s="4" t="s">
        <v>24</v>
      </c>
      <c r="B129" s="4" t="s">
        <v>226</v>
      </c>
      <c r="C129" s="4" t="s">
        <v>28</v>
      </c>
      <c r="D129" s="4" t="s">
        <v>27</v>
      </c>
      <c r="E129" s="4" t="s">
        <v>44</v>
      </c>
      <c r="F129" s="4" t="s">
        <v>53</v>
      </c>
      <c r="G129" s="4" t="s">
        <v>728</v>
      </c>
      <c r="H129" s="4" t="s">
        <v>729</v>
      </c>
      <c r="I129" s="4" t="s">
        <v>32</v>
      </c>
      <c r="J129" s="4" t="s">
        <v>395</v>
      </c>
      <c r="K129" s="4" t="s">
        <v>730</v>
      </c>
    </row>
    <row r="130" spans="1:11" ht="19.649999999999999" customHeight="1">
      <c r="A130" s="4" t="s">
        <v>24</v>
      </c>
      <c r="B130" s="4" t="s">
        <v>226</v>
      </c>
      <c r="C130" s="4" t="s">
        <v>111</v>
      </c>
      <c r="D130" s="4" t="s">
        <v>27</v>
      </c>
      <c r="E130" s="4" t="s">
        <v>112</v>
      </c>
      <c r="F130" s="4" t="s">
        <v>34</v>
      </c>
      <c r="G130" s="4" t="s">
        <v>731</v>
      </c>
      <c r="H130" s="4" t="s">
        <v>732</v>
      </c>
      <c r="I130" s="4" t="s">
        <v>113</v>
      </c>
      <c r="J130" s="4" t="s">
        <v>395</v>
      </c>
      <c r="K130" s="4" t="s">
        <v>733</v>
      </c>
    </row>
    <row r="131" spans="1:11" ht="19.649999999999999" customHeight="1">
      <c r="A131" s="4" t="s">
        <v>24</v>
      </c>
      <c r="B131" s="4" t="s">
        <v>226</v>
      </c>
      <c r="C131" s="4" t="s">
        <v>83</v>
      </c>
      <c r="D131" s="4" t="s">
        <v>27</v>
      </c>
      <c r="E131" s="4" t="s">
        <v>44</v>
      </c>
      <c r="F131" s="4" t="s">
        <v>34</v>
      </c>
      <c r="G131" s="4" t="s">
        <v>734</v>
      </c>
      <c r="H131" s="4" t="s">
        <v>735</v>
      </c>
      <c r="I131" s="4" t="s">
        <v>32</v>
      </c>
      <c r="J131" s="4" t="s">
        <v>521</v>
      </c>
      <c r="K131" s="4" t="s">
        <v>736</v>
      </c>
    </row>
    <row r="132" spans="1:11" ht="19.649999999999999" customHeight="1">
      <c r="A132" s="4" t="s">
        <v>24</v>
      </c>
      <c r="B132" s="4" t="s">
        <v>226</v>
      </c>
      <c r="C132" s="4" t="s">
        <v>43</v>
      </c>
      <c r="D132" s="4" t="s">
        <v>27</v>
      </c>
      <c r="E132" s="4" t="s">
        <v>45</v>
      </c>
      <c r="F132" s="4" t="s">
        <v>34</v>
      </c>
      <c r="G132" s="4" t="s">
        <v>737</v>
      </c>
      <c r="H132" s="4" t="s">
        <v>738</v>
      </c>
      <c r="I132" s="4" t="s">
        <v>48</v>
      </c>
      <c r="J132" s="4" t="s">
        <v>521</v>
      </c>
      <c r="K132" s="4" t="s">
        <v>739</v>
      </c>
    </row>
    <row r="133" spans="1:11" ht="19.649999999999999" customHeight="1">
      <c r="A133" s="4" t="s">
        <v>24</v>
      </c>
      <c r="B133" s="4" t="s">
        <v>231</v>
      </c>
      <c r="C133" s="4" t="s">
        <v>216</v>
      </c>
      <c r="D133" s="4" t="s">
        <v>27</v>
      </c>
      <c r="E133" s="4" t="s">
        <v>44</v>
      </c>
      <c r="F133" s="4" t="s">
        <v>34</v>
      </c>
      <c r="G133" s="4" t="s">
        <v>740</v>
      </c>
      <c r="H133" s="4" t="s">
        <v>741</v>
      </c>
      <c r="I133" s="4" t="s">
        <v>32</v>
      </c>
      <c r="J133" s="4" t="s">
        <v>521</v>
      </c>
      <c r="K133" s="4" t="s">
        <v>742</v>
      </c>
    </row>
    <row r="134" spans="1:11" ht="19.649999999999999" customHeight="1">
      <c r="A134" s="4" t="s">
        <v>24</v>
      </c>
      <c r="B134" s="4" t="s">
        <v>231</v>
      </c>
      <c r="C134" s="4" t="s">
        <v>149</v>
      </c>
      <c r="D134" s="4" t="s">
        <v>27</v>
      </c>
      <c r="E134" s="4" t="s">
        <v>112</v>
      </c>
      <c r="F134" s="4" t="s">
        <v>34</v>
      </c>
      <c r="G134" s="4" t="s">
        <v>743</v>
      </c>
      <c r="H134" s="4" t="s">
        <v>744</v>
      </c>
      <c r="I134" s="4" t="s">
        <v>113</v>
      </c>
      <c r="J134" s="4" t="s">
        <v>521</v>
      </c>
      <c r="K134" s="4" t="s">
        <v>745</v>
      </c>
    </row>
    <row r="135" spans="1:11" ht="19.649999999999999" customHeight="1">
      <c r="A135" s="4" t="s">
        <v>24</v>
      </c>
      <c r="B135" s="4" t="s">
        <v>234</v>
      </c>
      <c r="C135" s="4" t="s">
        <v>237</v>
      </c>
      <c r="D135" s="4" t="s">
        <v>71</v>
      </c>
      <c r="E135" s="4" t="s">
        <v>236</v>
      </c>
      <c r="F135" s="4" t="s">
        <v>53</v>
      </c>
      <c r="G135" s="4" t="s">
        <v>746</v>
      </c>
      <c r="H135" s="4" t="s">
        <v>747</v>
      </c>
      <c r="I135" s="4" t="s">
        <v>76</v>
      </c>
      <c r="J135" s="4" t="s">
        <v>542</v>
      </c>
      <c r="K135" s="4" t="s">
        <v>748</v>
      </c>
    </row>
    <row r="136" spans="1:11" ht="19.649999999999999" customHeight="1">
      <c r="A136" s="4" t="s">
        <v>24</v>
      </c>
      <c r="B136" s="4" t="s">
        <v>234</v>
      </c>
      <c r="C136" s="4" t="s">
        <v>149</v>
      </c>
      <c r="D136" s="4" t="s">
        <v>27</v>
      </c>
      <c r="E136" s="4" t="s">
        <v>112</v>
      </c>
      <c r="F136" s="4" t="s">
        <v>34</v>
      </c>
      <c r="G136" s="4" t="s">
        <v>749</v>
      </c>
      <c r="H136" s="4" t="s">
        <v>750</v>
      </c>
      <c r="I136" s="4" t="s">
        <v>113</v>
      </c>
      <c r="J136" s="4" t="s">
        <v>542</v>
      </c>
      <c r="K136" s="4" t="s">
        <v>751</v>
      </c>
    </row>
    <row r="137" spans="1:11" ht="19.649999999999999" customHeight="1">
      <c r="A137" s="4" t="s">
        <v>24</v>
      </c>
      <c r="B137" s="4" t="s">
        <v>240</v>
      </c>
      <c r="C137" s="4" t="s">
        <v>28</v>
      </c>
      <c r="D137" s="4" t="s">
        <v>27</v>
      </c>
      <c r="E137" s="4" t="s">
        <v>44</v>
      </c>
      <c r="F137" s="4" t="s">
        <v>53</v>
      </c>
      <c r="G137" s="4" t="s">
        <v>752</v>
      </c>
      <c r="H137" s="4" t="s">
        <v>753</v>
      </c>
      <c r="I137" s="4" t="s">
        <v>32</v>
      </c>
      <c r="J137" s="4" t="s">
        <v>542</v>
      </c>
      <c r="K137" s="4" t="s">
        <v>754</v>
      </c>
    </row>
    <row r="138" spans="1:11" ht="19.649999999999999" customHeight="1">
      <c r="A138" s="4" t="s">
        <v>24</v>
      </c>
      <c r="B138" s="4" t="s">
        <v>240</v>
      </c>
      <c r="C138" s="4" t="s">
        <v>111</v>
      </c>
      <c r="D138" s="4" t="s">
        <v>27</v>
      </c>
      <c r="E138" s="4" t="s">
        <v>112</v>
      </c>
      <c r="F138" s="4" t="s">
        <v>53</v>
      </c>
      <c r="G138" s="4" t="s">
        <v>755</v>
      </c>
      <c r="H138" s="4" t="s">
        <v>756</v>
      </c>
      <c r="I138" s="4" t="s">
        <v>113</v>
      </c>
      <c r="J138" s="4" t="s">
        <v>542</v>
      </c>
      <c r="K138" s="4" t="s">
        <v>757</v>
      </c>
    </row>
    <row r="139" spans="1:11" ht="19.649999999999999" customHeight="1">
      <c r="A139" s="4" t="s">
        <v>24</v>
      </c>
      <c r="B139" s="4" t="s">
        <v>240</v>
      </c>
      <c r="C139" s="4" t="s">
        <v>83</v>
      </c>
      <c r="D139" s="4" t="s">
        <v>27</v>
      </c>
      <c r="E139" s="4" t="s">
        <v>44</v>
      </c>
      <c r="F139" s="4" t="s">
        <v>34</v>
      </c>
      <c r="G139" s="4" t="s">
        <v>758</v>
      </c>
      <c r="H139" s="4" t="s">
        <v>759</v>
      </c>
      <c r="I139" s="4" t="s">
        <v>32</v>
      </c>
      <c r="J139" s="4" t="s">
        <v>521</v>
      </c>
      <c r="K139" s="4" t="s">
        <v>760</v>
      </c>
    </row>
    <row r="140" spans="1:11" ht="19.649999999999999" customHeight="1">
      <c r="A140" s="4" t="s">
        <v>24</v>
      </c>
      <c r="B140" s="4" t="s">
        <v>240</v>
      </c>
      <c r="C140" s="4" t="s">
        <v>43</v>
      </c>
      <c r="D140" s="4" t="s">
        <v>27</v>
      </c>
      <c r="E140" s="4" t="s">
        <v>45</v>
      </c>
      <c r="F140" s="4" t="s">
        <v>34</v>
      </c>
      <c r="G140" s="4" t="s">
        <v>761</v>
      </c>
      <c r="H140" s="4" t="s">
        <v>762</v>
      </c>
      <c r="I140" s="4" t="s">
        <v>48</v>
      </c>
      <c r="J140" s="4" t="s">
        <v>521</v>
      </c>
      <c r="K140" s="4" t="s">
        <v>763</v>
      </c>
    </row>
    <row r="141" spans="1:11" ht="19.649999999999999" customHeight="1">
      <c r="A141" s="4" t="s">
        <v>24</v>
      </c>
      <c r="B141" s="4" t="s">
        <v>243</v>
      </c>
      <c r="C141" s="4" t="s">
        <v>28</v>
      </c>
      <c r="D141" s="4" t="s">
        <v>27</v>
      </c>
      <c r="E141" s="4" t="s">
        <v>44</v>
      </c>
      <c r="F141" s="4" t="s">
        <v>53</v>
      </c>
      <c r="G141" s="4" t="s">
        <v>764</v>
      </c>
      <c r="H141" s="4" t="s">
        <v>765</v>
      </c>
      <c r="I141" s="4" t="s">
        <v>32</v>
      </c>
      <c r="J141" s="4" t="s">
        <v>542</v>
      </c>
      <c r="K141" s="4" t="s">
        <v>766</v>
      </c>
    </row>
    <row r="142" spans="1:11" ht="19.649999999999999" customHeight="1">
      <c r="A142" s="4" t="s">
        <v>24</v>
      </c>
      <c r="B142" s="4" t="s">
        <v>243</v>
      </c>
      <c r="C142" s="4" t="s">
        <v>83</v>
      </c>
      <c r="D142" s="4" t="s">
        <v>27</v>
      </c>
      <c r="E142" s="4" t="s">
        <v>44</v>
      </c>
      <c r="F142" s="4" t="s">
        <v>34</v>
      </c>
      <c r="G142" s="4" t="s">
        <v>767</v>
      </c>
      <c r="H142" s="4" t="s">
        <v>768</v>
      </c>
      <c r="I142" s="4" t="s">
        <v>32</v>
      </c>
      <c r="J142" s="4" t="s">
        <v>521</v>
      </c>
      <c r="K142" s="4" t="s">
        <v>769</v>
      </c>
    </row>
    <row r="143" spans="1:11" ht="19.649999999999999" customHeight="1">
      <c r="A143" s="4" t="s">
        <v>24</v>
      </c>
      <c r="B143" s="4" t="s">
        <v>245</v>
      </c>
      <c r="C143" s="4" t="s">
        <v>28</v>
      </c>
      <c r="D143" s="4" t="s">
        <v>27</v>
      </c>
      <c r="E143" s="4" t="s">
        <v>44</v>
      </c>
      <c r="F143" s="4" t="s">
        <v>53</v>
      </c>
      <c r="G143" s="4" t="s">
        <v>770</v>
      </c>
      <c r="H143" s="4" t="s">
        <v>771</v>
      </c>
      <c r="I143" s="4" t="s">
        <v>32</v>
      </c>
      <c r="J143" s="4" t="s">
        <v>542</v>
      </c>
      <c r="K143" s="4" t="s">
        <v>772</v>
      </c>
    </row>
    <row r="144" spans="1:11" ht="19.649999999999999" customHeight="1">
      <c r="A144" s="4" t="s">
        <v>24</v>
      </c>
      <c r="B144" s="4" t="s">
        <v>245</v>
      </c>
      <c r="C144" s="4" t="s">
        <v>83</v>
      </c>
      <c r="D144" s="4" t="s">
        <v>27</v>
      </c>
      <c r="E144" s="4" t="s">
        <v>44</v>
      </c>
      <c r="F144" s="4" t="s">
        <v>34</v>
      </c>
      <c r="G144" s="4" t="s">
        <v>773</v>
      </c>
      <c r="H144" s="4" t="s">
        <v>774</v>
      </c>
      <c r="I144" s="4" t="s">
        <v>32</v>
      </c>
      <c r="J144" s="4" t="s">
        <v>521</v>
      </c>
      <c r="K144" s="4" t="s">
        <v>775</v>
      </c>
    </row>
    <row r="145" spans="1:11" ht="19.649999999999999" customHeight="1">
      <c r="A145" s="4" t="s">
        <v>24</v>
      </c>
      <c r="B145" s="4" t="s">
        <v>245</v>
      </c>
      <c r="C145" s="4" t="s">
        <v>43</v>
      </c>
      <c r="D145" s="4" t="s">
        <v>27</v>
      </c>
      <c r="E145" s="4" t="s">
        <v>45</v>
      </c>
      <c r="F145" s="4" t="s">
        <v>34</v>
      </c>
      <c r="G145" s="4" t="s">
        <v>776</v>
      </c>
      <c r="H145" s="4" t="s">
        <v>774</v>
      </c>
      <c r="I145" s="4" t="s">
        <v>48</v>
      </c>
      <c r="J145" s="4" t="s">
        <v>521</v>
      </c>
      <c r="K145" s="4" t="s">
        <v>777</v>
      </c>
    </row>
    <row r="146" spans="1:11" ht="19.649999999999999" customHeight="1">
      <c r="A146" s="4" t="s">
        <v>24</v>
      </c>
      <c r="B146" s="4" t="s">
        <v>247</v>
      </c>
      <c r="C146" s="4" t="s">
        <v>28</v>
      </c>
      <c r="D146" s="4" t="s">
        <v>27</v>
      </c>
      <c r="E146" s="4" t="s">
        <v>44</v>
      </c>
      <c r="F146" s="4" t="s">
        <v>53</v>
      </c>
      <c r="G146" s="4" t="s">
        <v>778</v>
      </c>
      <c r="H146" s="4" t="s">
        <v>779</v>
      </c>
      <c r="I146" s="4" t="s">
        <v>32</v>
      </c>
      <c r="J146" s="4" t="s">
        <v>542</v>
      </c>
      <c r="K146" s="4" t="s">
        <v>780</v>
      </c>
    </row>
    <row r="147" spans="1:11" ht="19.649999999999999" customHeight="1">
      <c r="A147" s="4" t="s">
        <v>24</v>
      </c>
      <c r="B147" s="4" t="s">
        <v>247</v>
      </c>
      <c r="C147" s="4" t="s">
        <v>111</v>
      </c>
      <c r="D147" s="4" t="s">
        <v>27</v>
      </c>
      <c r="E147" s="4" t="s">
        <v>112</v>
      </c>
      <c r="F147" s="4" t="s">
        <v>53</v>
      </c>
      <c r="G147" s="4" t="s">
        <v>781</v>
      </c>
      <c r="H147" s="4" t="s">
        <v>782</v>
      </c>
      <c r="I147" s="4" t="s">
        <v>113</v>
      </c>
      <c r="J147" s="4" t="s">
        <v>542</v>
      </c>
      <c r="K147" s="4" t="s">
        <v>783</v>
      </c>
    </row>
    <row r="148" spans="1:11" ht="19.649999999999999" customHeight="1">
      <c r="A148" s="4" t="s">
        <v>24</v>
      </c>
      <c r="B148" s="4" t="s">
        <v>247</v>
      </c>
      <c r="C148" s="4" t="s">
        <v>83</v>
      </c>
      <c r="D148" s="4" t="s">
        <v>27</v>
      </c>
      <c r="E148" s="4" t="s">
        <v>44</v>
      </c>
      <c r="F148" s="4" t="s">
        <v>34</v>
      </c>
      <c r="G148" s="4" t="s">
        <v>784</v>
      </c>
      <c r="H148" s="4" t="s">
        <v>785</v>
      </c>
      <c r="I148" s="4" t="s">
        <v>32</v>
      </c>
      <c r="J148" s="4" t="s">
        <v>521</v>
      </c>
      <c r="K148" s="4" t="s">
        <v>786</v>
      </c>
    </row>
    <row r="149" spans="1:11" ht="19.649999999999999" customHeight="1">
      <c r="A149" s="4" t="s">
        <v>24</v>
      </c>
      <c r="B149" s="4" t="s">
        <v>251</v>
      </c>
      <c r="C149" s="4" t="s">
        <v>252</v>
      </c>
      <c r="D149" s="4" t="s">
        <v>71</v>
      </c>
      <c r="E149" s="4" t="s">
        <v>236</v>
      </c>
      <c r="F149" s="4" t="s">
        <v>53</v>
      </c>
      <c r="G149" s="4" t="s">
        <v>787</v>
      </c>
      <c r="H149" s="4" t="s">
        <v>788</v>
      </c>
      <c r="I149" s="4" t="s">
        <v>120</v>
      </c>
      <c r="J149" s="4" t="s">
        <v>395</v>
      </c>
      <c r="K149" s="4" t="s">
        <v>789</v>
      </c>
    </row>
    <row r="150" spans="1:11" ht="19.649999999999999" customHeight="1">
      <c r="A150" s="4" t="s">
        <v>24</v>
      </c>
      <c r="B150" s="4" t="s">
        <v>254</v>
      </c>
      <c r="C150" s="4" t="s">
        <v>252</v>
      </c>
      <c r="D150" s="4" t="s">
        <v>71</v>
      </c>
      <c r="E150" s="4" t="s">
        <v>236</v>
      </c>
      <c r="F150" s="4" t="s">
        <v>53</v>
      </c>
      <c r="G150" s="4" t="s">
        <v>790</v>
      </c>
      <c r="H150" s="4" t="s">
        <v>791</v>
      </c>
      <c r="I150" s="4" t="s">
        <v>120</v>
      </c>
      <c r="J150" s="4" t="s">
        <v>395</v>
      </c>
      <c r="K150" s="4" t="s">
        <v>792</v>
      </c>
    </row>
    <row r="151" spans="1:11" ht="19.649999999999999" customHeight="1">
      <c r="A151" s="4" t="s">
        <v>24</v>
      </c>
      <c r="B151" s="4" t="s">
        <v>256</v>
      </c>
      <c r="C151" s="4" t="s">
        <v>182</v>
      </c>
      <c r="D151" s="4" t="s">
        <v>71</v>
      </c>
      <c r="E151" s="4" t="s">
        <v>183</v>
      </c>
      <c r="F151" s="4" t="s">
        <v>53</v>
      </c>
      <c r="G151" s="4" t="s">
        <v>793</v>
      </c>
      <c r="H151" s="4" t="s">
        <v>794</v>
      </c>
      <c r="I151" s="4" t="s">
        <v>76</v>
      </c>
      <c r="J151" s="4" t="s">
        <v>395</v>
      </c>
      <c r="K151" s="4" t="s">
        <v>795</v>
      </c>
    </row>
    <row r="152" spans="1:11" ht="19.649999999999999" customHeight="1">
      <c r="A152" s="4" t="s">
        <v>24</v>
      </c>
      <c r="B152" s="4" t="s">
        <v>258</v>
      </c>
      <c r="C152" s="4" t="s">
        <v>182</v>
      </c>
      <c r="D152" s="4" t="s">
        <v>71</v>
      </c>
      <c r="E152" s="4" t="s">
        <v>183</v>
      </c>
      <c r="F152" s="4" t="s">
        <v>53</v>
      </c>
      <c r="G152" s="4" t="s">
        <v>796</v>
      </c>
      <c r="H152" s="4" t="s">
        <v>797</v>
      </c>
      <c r="I152" s="4" t="s">
        <v>76</v>
      </c>
      <c r="J152" s="4" t="s">
        <v>395</v>
      </c>
      <c r="K152" s="4" t="s">
        <v>798</v>
      </c>
    </row>
    <row r="153" spans="1:11" ht="19.649999999999999" customHeight="1">
      <c r="A153" s="4" t="s">
        <v>24</v>
      </c>
      <c r="B153" s="4" t="s">
        <v>258</v>
      </c>
      <c r="C153" s="4" t="s">
        <v>252</v>
      </c>
      <c r="D153" s="4" t="s">
        <v>71</v>
      </c>
      <c r="E153" s="4" t="s">
        <v>236</v>
      </c>
      <c r="F153" s="4" t="s">
        <v>53</v>
      </c>
      <c r="G153" s="4" t="s">
        <v>799</v>
      </c>
      <c r="H153" s="4" t="s">
        <v>800</v>
      </c>
      <c r="I153" s="4" t="s">
        <v>801</v>
      </c>
      <c r="J153" s="4" t="s">
        <v>395</v>
      </c>
      <c r="K153" s="4" t="s">
        <v>802</v>
      </c>
    </row>
    <row r="154" spans="1:11" ht="19.649999999999999" customHeight="1">
      <c r="A154" s="4" t="s">
        <v>24</v>
      </c>
      <c r="B154" s="4" t="s">
        <v>258</v>
      </c>
      <c r="C154" s="4" t="s">
        <v>72</v>
      </c>
      <c r="D154" s="4" t="s">
        <v>71</v>
      </c>
      <c r="E154" s="4" t="s">
        <v>183</v>
      </c>
      <c r="F154" s="4" t="s">
        <v>53</v>
      </c>
      <c r="G154" s="4" t="s">
        <v>803</v>
      </c>
      <c r="H154" s="4" t="s">
        <v>804</v>
      </c>
      <c r="I154" s="4" t="s">
        <v>76</v>
      </c>
      <c r="J154" s="4" t="s">
        <v>395</v>
      </c>
      <c r="K154" s="4" t="s">
        <v>805</v>
      </c>
    </row>
    <row r="155" spans="1:11" ht="19.649999999999999" customHeight="1">
      <c r="A155" s="4" t="s">
        <v>24</v>
      </c>
      <c r="B155" s="4" t="s">
        <v>262</v>
      </c>
      <c r="C155" s="4" t="s">
        <v>182</v>
      </c>
      <c r="D155" s="4" t="s">
        <v>71</v>
      </c>
      <c r="E155" s="4" t="s">
        <v>183</v>
      </c>
      <c r="F155" s="4" t="s">
        <v>53</v>
      </c>
      <c r="G155" s="4" t="s">
        <v>806</v>
      </c>
      <c r="H155" s="4" t="s">
        <v>807</v>
      </c>
      <c r="I155" s="4" t="s">
        <v>76</v>
      </c>
      <c r="J155" s="4" t="s">
        <v>808</v>
      </c>
      <c r="K155" s="4" t="s">
        <v>809</v>
      </c>
    </row>
    <row r="156" spans="1:11" ht="19.649999999999999" customHeight="1">
      <c r="A156" s="4" t="s">
        <v>24</v>
      </c>
      <c r="B156" s="4" t="s">
        <v>262</v>
      </c>
      <c r="C156" s="4" t="s">
        <v>252</v>
      </c>
      <c r="D156" s="4" t="s">
        <v>71</v>
      </c>
      <c r="E156" s="4" t="s">
        <v>236</v>
      </c>
      <c r="F156" s="4" t="s">
        <v>34</v>
      </c>
      <c r="G156" s="4" t="s">
        <v>810</v>
      </c>
      <c r="H156" s="4" t="s">
        <v>811</v>
      </c>
      <c r="I156" s="4" t="s">
        <v>812</v>
      </c>
      <c r="J156" s="4" t="s">
        <v>395</v>
      </c>
      <c r="K156" s="4" t="s">
        <v>813</v>
      </c>
    </row>
    <row r="157" spans="1:11" ht="19.649999999999999" customHeight="1">
      <c r="A157" s="4" t="s">
        <v>24</v>
      </c>
      <c r="B157" s="4" t="s">
        <v>265</v>
      </c>
      <c r="C157" s="4" t="s">
        <v>252</v>
      </c>
      <c r="D157" s="4" t="s">
        <v>71</v>
      </c>
      <c r="E157" s="4" t="s">
        <v>236</v>
      </c>
      <c r="F157" s="4" t="s">
        <v>53</v>
      </c>
      <c r="G157" s="4" t="s">
        <v>814</v>
      </c>
      <c r="H157" s="4" t="s">
        <v>815</v>
      </c>
      <c r="I157" s="4" t="s">
        <v>812</v>
      </c>
      <c r="J157" s="4" t="s">
        <v>395</v>
      </c>
      <c r="K157" s="4" t="s">
        <v>816</v>
      </c>
    </row>
    <row r="158" spans="1:11" ht="19.649999999999999" customHeight="1">
      <c r="A158" s="4" t="s">
        <v>24</v>
      </c>
      <c r="B158" s="4" t="s">
        <v>265</v>
      </c>
      <c r="C158" s="4" t="s">
        <v>237</v>
      </c>
      <c r="D158" s="4" t="s">
        <v>71</v>
      </c>
      <c r="E158" s="4" t="s">
        <v>236</v>
      </c>
      <c r="F158" s="4" t="s">
        <v>34</v>
      </c>
      <c r="G158" s="4" t="s">
        <v>817</v>
      </c>
      <c r="H158" s="4" t="s">
        <v>818</v>
      </c>
      <c r="I158" s="4" t="s">
        <v>812</v>
      </c>
      <c r="J158" s="4" t="s">
        <v>350</v>
      </c>
      <c r="K158" s="4" t="s">
        <v>819</v>
      </c>
    </row>
    <row r="159" spans="1:11" ht="19.649999999999999" customHeight="1">
      <c r="A159" s="4" t="s">
        <v>24</v>
      </c>
      <c r="B159" s="4" t="s">
        <v>268</v>
      </c>
      <c r="C159" s="4" t="s">
        <v>72</v>
      </c>
      <c r="D159" s="4" t="s">
        <v>71</v>
      </c>
      <c r="E159" s="4" t="s">
        <v>183</v>
      </c>
      <c r="F159" s="4" t="s">
        <v>53</v>
      </c>
      <c r="G159" s="4" t="s">
        <v>820</v>
      </c>
      <c r="H159" s="4" t="s">
        <v>821</v>
      </c>
      <c r="I159" s="4" t="s">
        <v>76</v>
      </c>
      <c r="J159" s="4" t="s">
        <v>702</v>
      </c>
      <c r="K159" s="4" t="s">
        <v>822</v>
      </c>
    </row>
    <row r="160" spans="1:11" ht="19.649999999999999" customHeight="1">
      <c r="A160" s="4" t="s">
        <v>24</v>
      </c>
      <c r="B160" s="4" t="s">
        <v>268</v>
      </c>
      <c r="C160" s="4" t="s">
        <v>182</v>
      </c>
      <c r="D160" s="4" t="s">
        <v>71</v>
      </c>
      <c r="E160" s="4" t="s">
        <v>183</v>
      </c>
      <c r="F160" s="4" t="s">
        <v>53</v>
      </c>
      <c r="G160" s="4" t="s">
        <v>823</v>
      </c>
      <c r="H160" s="4" t="s">
        <v>824</v>
      </c>
      <c r="I160" s="4" t="s">
        <v>76</v>
      </c>
      <c r="J160" s="4" t="s">
        <v>702</v>
      </c>
      <c r="K160" s="4" t="s">
        <v>825</v>
      </c>
    </row>
    <row r="161" spans="1:11" ht="19.649999999999999" customHeight="1">
      <c r="A161" s="4" t="s">
        <v>24</v>
      </c>
      <c r="B161" s="4" t="s">
        <v>268</v>
      </c>
      <c r="C161" s="4" t="s">
        <v>252</v>
      </c>
      <c r="D161" s="4" t="s">
        <v>71</v>
      </c>
      <c r="E161" s="4" t="s">
        <v>236</v>
      </c>
      <c r="F161" s="4" t="s">
        <v>34</v>
      </c>
      <c r="G161" s="4" t="s">
        <v>826</v>
      </c>
      <c r="H161" s="4" t="s">
        <v>827</v>
      </c>
      <c r="I161" s="4" t="s">
        <v>120</v>
      </c>
      <c r="J161" s="4" t="s">
        <v>521</v>
      </c>
      <c r="K161" s="4" t="s">
        <v>828</v>
      </c>
    </row>
    <row r="162" spans="1:11" ht="19.649999999999999" customHeight="1">
      <c r="A162" s="4" t="s">
        <v>24</v>
      </c>
      <c r="B162" s="4" t="s">
        <v>271</v>
      </c>
      <c r="C162" s="4" t="s">
        <v>72</v>
      </c>
      <c r="D162" s="4" t="s">
        <v>71</v>
      </c>
      <c r="E162" s="4" t="s">
        <v>183</v>
      </c>
      <c r="F162" s="4" t="s">
        <v>53</v>
      </c>
      <c r="G162" s="4" t="s">
        <v>829</v>
      </c>
      <c r="H162" s="4" t="s">
        <v>830</v>
      </c>
      <c r="I162" s="4" t="s">
        <v>831</v>
      </c>
      <c r="J162" s="4" t="s">
        <v>702</v>
      </c>
      <c r="K162" s="4" t="s">
        <v>832</v>
      </c>
    </row>
    <row r="163" spans="1:11" ht="19.649999999999999" customHeight="1">
      <c r="A163" s="4" t="s">
        <v>24</v>
      </c>
      <c r="B163" s="4" t="s">
        <v>273</v>
      </c>
      <c r="C163" s="4" t="s">
        <v>72</v>
      </c>
      <c r="D163" s="4" t="s">
        <v>71</v>
      </c>
      <c r="E163" s="4" t="s">
        <v>183</v>
      </c>
      <c r="F163" s="4" t="s">
        <v>53</v>
      </c>
      <c r="G163" s="4" t="s">
        <v>833</v>
      </c>
      <c r="H163" s="4" t="s">
        <v>834</v>
      </c>
      <c r="I163" s="4" t="s">
        <v>76</v>
      </c>
      <c r="J163" s="4" t="s">
        <v>395</v>
      </c>
      <c r="K163" s="4" t="s">
        <v>835</v>
      </c>
    </row>
    <row r="164" spans="1:11" ht="19.649999999999999" customHeight="1">
      <c r="A164" s="4" t="s">
        <v>24</v>
      </c>
      <c r="B164" s="4" t="s">
        <v>273</v>
      </c>
      <c r="C164" s="4" t="s">
        <v>237</v>
      </c>
      <c r="D164" s="4" t="s">
        <v>71</v>
      </c>
      <c r="E164" s="4" t="s">
        <v>236</v>
      </c>
      <c r="F164" s="4" t="s">
        <v>34</v>
      </c>
      <c r="G164" s="4" t="s">
        <v>836</v>
      </c>
      <c r="H164" s="4" t="s">
        <v>837</v>
      </c>
      <c r="I164" s="4" t="s">
        <v>838</v>
      </c>
      <c r="J164" s="4" t="s">
        <v>395</v>
      </c>
      <c r="K164" s="4" t="s">
        <v>839</v>
      </c>
    </row>
    <row r="165" spans="1:11" ht="19.649999999999999" customHeight="1">
      <c r="A165" s="4" t="s">
        <v>24</v>
      </c>
      <c r="B165" s="4" t="s">
        <v>276</v>
      </c>
      <c r="C165" s="4" t="s">
        <v>182</v>
      </c>
      <c r="D165" s="4" t="s">
        <v>71</v>
      </c>
      <c r="E165" s="4" t="s">
        <v>183</v>
      </c>
      <c r="F165" s="4" t="s">
        <v>53</v>
      </c>
      <c r="G165" s="4" t="s">
        <v>840</v>
      </c>
      <c r="H165" s="4" t="s">
        <v>841</v>
      </c>
      <c r="I165" s="4" t="s">
        <v>76</v>
      </c>
      <c r="J165" s="4" t="s">
        <v>702</v>
      </c>
      <c r="K165" s="4" t="s">
        <v>842</v>
      </c>
    </row>
    <row r="166" spans="1:11" ht="19.649999999999999" customHeight="1">
      <c r="A166" s="4" t="s">
        <v>24</v>
      </c>
      <c r="B166" s="4" t="s">
        <v>278</v>
      </c>
      <c r="C166" s="4" t="s">
        <v>252</v>
      </c>
      <c r="D166" s="4" t="s">
        <v>71</v>
      </c>
      <c r="E166" s="4" t="s">
        <v>236</v>
      </c>
      <c r="F166" s="4" t="s">
        <v>53</v>
      </c>
      <c r="G166" s="4" t="s">
        <v>843</v>
      </c>
      <c r="H166" s="4" t="s">
        <v>844</v>
      </c>
      <c r="I166" s="4" t="s">
        <v>76</v>
      </c>
      <c r="J166" s="4" t="s">
        <v>395</v>
      </c>
      <c r="K166" s="4" t="s">
        <v>845</v>
      </c>
    </row>
    <row r="167" spans="1:11" ht="19.649999999999999" customHeight="1">
      <c r="A167" s="4" t="s">
        <v>24</v>
      </c>
      <c r="B167" s="4" t="s">
        <v>280</v>
      </c>
      <c r="C167" s="4" t="s">
        <v>72</v>
      </c>
      <c r="D167" s="4" t="s">
        <v>71</v>
      </c>
      <c r="E167" s="4" t="s">
        <v>183</v>
      </c>
      <c r="F167" s="4" t="s">
        <v>53</v>
      </c>
      <c r="G167" s="4" t="s">
        <v>846</v>
      </c>
      <c r="H167" s="4" t="s">
        <v>847</v>
      </c>
      <c r="I167" s="4" t="s">
        <v>76</v>
      </c>
      <c r="J167" s="4" t="s">
        <v>808</v>
      </c>
      <c r="K167" s="4" t="s">
        <v>848</v>
      </c>
    </row>
    <row r="168" spans="1:11" ht="19.649999999999999" customHeight="1">
      <c r="A168" s="4" t="s">
        <v>24</v>
      </c>
      <c r="B168" s="4" t="s">
        <v>282</v>
      </c>
      <c r="C168" s="4" t="s">
        <v>182</v>
      </c>
      <c r="D168" s="4" t="s">
        <v>71</v>
      </c>
      <c r="E168" s="4" t="s">
        <v>183</v>
      </c>
      <c r="F168" s="4" t="s">
        <v>53</v>
      </c>
      <c r="G168" s="4" t="s">
        <v>849</v>
      </c>
      <c r="H168" s="4" t="s">
        <v>850</v>
      </c>
      <c r="I168" s="4" t="s">
        <v>76</v>
      </c>
      <c r="J168" s="4" t="s">
        <v>395</v>
      </c>
      <c r="K168" s="4" t="s">
        <v>851</v>
      </c>
    </row>
    <row r="169" spans="1:11" ht="19.649999999999999" customHeight="1">
      <c r="A169" s="4" t="s">
        <v>24</v>
      </c>
      <c r="B169" s="4" t="s">
        <v>284</v>
      </c>
      <c r="C169" s="4" t="s">
        <v>182</v>
      </c>
      <c r="D169" s="4" t="s">
        <v>71</v>
      </c>
      <c r="E169" s="4" t="s">
        <v>183</v>
      </c>
      <c r="F169" s="4" t="s">
        <v>53</v>
      </c>
      <c r="G169" s="4" t="s">
        <v>852</v>
      </c>
      <c r="H169" s="4" t="s">
        <v>853</v>
      </c>
      <c r="I169" s="4" t="s">
        <v>76</v>
      </c>
      <c r="J169" s="4" t="s">
        <v>395</v>
      </c>
      <c r="K169" s="4" t="s">
        <v>854</v>
      </c>
    </row>
    <row r="170" spans="1:11" ht="19.649999999999999" customHeight="1">
      <c r="A170" s="4" t="s">
        <v>24</v>
      </c>
      <c r="B170" s="4" t="s">
        <v>286</v>
      </c>
      <c r="C170" s="4" t="s">
        <v>182</v>
      </c>
      <c r="D170" s="4" t="s">
        <v>71</v>
      </c>
      <c r="E170" s="4" t="s">
        <v>183</v>
      </c>
      <c r="F170" s="4" t="s">
        <v>53</v>
      </c>
      <c r="G170" s="4" t="s">
        <v>855</v>
      </c>
      <c r="H170" s="4" t="s">
        <v>856</v>
      </c>
      <c r="I170" s="4" t="s">
        <v>76</v>
      </c>
      <c r="J170" s="4" t="s">
        <v>395</v>
      </c>
      <c r="K170" s="4" t="s">
        <v>857</v>
      </c>
    </row>
    <row r="171" spans="1:11" ht="19.649999999999999" customHeight="1">
      <c r="A171" s="4" t="s">
        <v>24</v>
      </c>
      <c r="B171" s="4" t="s">
        <v>288</v>
      </c>
      <c r="C171" s="4" t="s">
        <v>182</v>
      </c>
      <c r="D171" s="4" t="s">
        <v>71</v>
      </c>
      <c r="E171" s="4" t="s">
        <v>183</v>
      </c>
      <c r="F171" s="4" t="s">
        <v>53</v>
      </c>
      <c r="G171" s="4" t="s">
        <v>858</v>
      </c>
      <c r="H171" s="4" t="s">
        <v>859</v>
      </c>
      <c r="I171" s="4" t="s">
        <v>76</v>
      </c>
      <c r="J171" s="4" t="s">
        <v>395</v>
      </c>
      <c r="K171" s="4" t="s">
        <v>860</v>
      </c>
    </row>
    <row r="172" spans="1:11" ht="19.649999999999999" customHeight="1">
      <c r="A172" s="7" t="s">
        <v>24</v>
      </c>
      <c r="B172" s="7" t="s">
        <v>290</v>
      </c>
      <c r="C172" s="7" t="s">
        <v>182</v>
      </c>
      <c r="D172" s="7" t="s">
        <v>71</v>
      </c>
      <c r="E172" s="7" t="s">
        <v>183</v>
      </c>
      <c r="F172" s="7" t="s">
        <v>53</v>
      </c>
      <c r="G172" s="7" t="s">
        <v>861</v>
      </c>
      <c r="H172" s="7" t="s">
        <v>862</v>
      </c>
      <c r="I172" s="7" t="s">
        <v>76</v>
      </c>
      <c r="J172" s="7" t="s">
        <v>395</v>
      </c>
      <c r="K172" s="7" t="s">
        <v>863</v>
      </c>
    </row>
    <row r="173" spans="1:11" ht="19.649999999999999" customHeight="1">
      <c r="A173" s="7" t="s">
        <v>24</v>
      </c>
      <c r="B173" s="7" t="s">
        <v>290</v>
      </c>
      <c r="C173" s="7" t="s">
        <v>72</v>
      </c>
      <c r="D173" s="7" t="s">
        <v>71</v>
      </c>
      <c r="E173" s="7" t="s">
        <v>183</v>
      </c>
      <c r="F173" s="7" t="s">
        <v>53</v>
      </c>
      <c r="G173" s="7" t="s">
        <v>864</v>
      </c>
      <c r="H173" s="7" t="s">
        <v>865</v>
      </c>
      <c r="I173" s="7" t="s">
        <v>76</v>
      </c>
      <c r="J173" s="7" t="s">
        <v>395</v>
      </c>
      <c r="K173" s="7" t="s">
        <v>866</v>
      </c>
    </row>
    <row r="174" spans="1:11" ht="19.649999999999999" customHeight="1">
      <c r="A174" s="4" t="s">
        <v>24</v>
      </c>
      <c r="B174" s="4" t="s">
        <v>293</v>
      </c>
      <c r="C174" s="4" t="s">
        <v>182</v>
      </c>
      <c r="D174" s="4" t="s">
        <v>71</v>
      </c>
      <c r="E174" s="4" t="s">
        <v>183</v>
      </c>
      <c r="F174" s="4" t="s">
        <v>53</v>
      </c>
      <c r="G174" s="4" t="s">
        <v>867</v>
      </c>
      <c r="H174" s="4" t="s">
        <v>868</v>
      </c>
      <c r="I174" s="4" t="s">
        <v>831</v>
      </c>
      <c r="J174" s="4" t="s">
        <v>395</v>
      </c>
      <c r="K174" s="4" t="s">
        <v>869</v>
      </c>
    </row>
    <row r="175" spans="1:11" ht="19.649999999999999" customHeight="1">
      <c r="A175" s="4" t="s">
        <v>24</v>
      </c>
      <c r="B175" s="4" t="s">
        <v>296</v>
      </c>
      <c r="C175" s="4" t="s">
        <v>237</v>
      </c>
      <c r="D175" s="4" t="s">
        <v>71</v>
      </c>
      <c r="E175" s="4" t="s">
        <v>236</v>
      </c>
      <c r="F175" s="4" t="s">
        <v>53</v>
      </c>
      <c r="G175" s="4" t="s">
        <v>870</v>
      </c>
      <c r="H175" s="4" t="s">
        <v>871</v>
      </c>
      <c r="I175" s="4" t="s">
        <v>76</v>
      </c>
      <c r="J175" s="4" t="s">
        <v>395</v>
      </c>
      <c r="K175" s="4" t="s">
        <v>872</v>
      </c>
    </row>
    <row r="176" spans="1:11" ht="19.649999999999999" customHeight="1">
      <c r="A176" s="4" t="s">
        <v>24</v>
      </c>
      <c r="B176" s="4" t="s">
        <v>298</v>
      </c>
      <c r="C176" s="4" t="s">
        <v>237</v>
      </c>
      <c r="D176" s="4" t="s">
        <v>71</v>
      </c>
      <c r="E176" s="4" t="s">
        <v>236</v>
      </c>
      <c r="F176" s="4" t="s">
        <v>34</v>
      </c>
      <c r="G176" s="4" t="s">
        <v>873</v>
      </c>
      <c r="H176" s="4" t="s">
        <v>874</v>
      </c>
      <c r="I176" s="4" t="s">
        <v>76</v>
      </c>
      <c r="J176" s="4" t="s">
        <v>521</v>
      </c>
      <c r="K176" s="8" t="s">
        <v>875</v>
      </c>
    </row>
    <row r="177" spans="1:11" ht="19.649999999999999" customHeight="1">
      <c r="A177" s="4" t="s">
        <v>24</v>
      </c>
      <c r="B177" s="4" t="s">
        <v>300</v>
      </c>
      <c r="C177" s="4" t="s">
        <v>237</v>
      </c>
      <c r="D177" s="4" t="s">
        <v>71</v>
      </c>
      <c r="E177" s="4" t="s">
        <v>236</v>
      </c>
      <c r="F177" s="4" t="s">
        <v>53</v>
      </c>
      <c r="G177" s="4" t="s">
        <v>876</v>
      </c>
      <c r="H177" s="4" t="s">
        <v>877</v>
      </c>
      <c r="I177" s="4" t="s">
        <v>76</v>
      </c>
      <c r="J177" s="4" t="s">
        <v>702</v>
      </c>
      <c r="K177" s="4" t="s">
        <v>878</v>
      </c>
    </row>
    <row r="178" spans="1:11" ht="19.649999999999999" customHeight="1">
      <c r="A178" s="4" t="s">
        <v>24</v>
      </c>
      <c r="B178" s="4" t="s">
        <v>302</v>
      </c>
      <c r="C178" s="4" t="s">
        <v>237</v>
      </c>
      <c r="D178" s="4" t="s">
        <v>71</v>
      </c>
      <c r="E178" s="4" t="s">
        <v>236</v>
      </c>
      <c r="F178" s="4" t="s">
        <v>53</v>
      </c>
      <c r="G178" s="4" t="s">
        <v>879</v>
      </c>
      <c r="H178" s="4" t="s">
        <v>880</v>
      </c>
      <c r="I178" s="4" t="s">
        <v>76</v>
      </c>
      <c r="J178" s="4" t="s">
        <v>542</v>
      </c>
      <c r="K178" s="4" t="s">
        <v>881</v>
      </c>
    </row>
    <row r="179" spans="1:11" ht="19.649999999999999" customHeight="1">
      <c r="A179" s="4" t="s">
        <v>24</v>
      </c>
      <c r="B179" s="4" t="s">
        <v>304</v>
      </c>
      <c r="C179" s="4" t="s">
        <v>237</v>
      </c>
      <c r="D179" s="4" t="s">
        <v>71</v>
      </c>
      <c r="E179" s="4" t="s">
        <v>236</v>
      </c>
      <c r="F179" s="4" t="s">
        <v>53</v>
      </c>
      <c r="G179" s="4" t="s">
        <v>882</v>
      </c>
      <c r="H179" s="4" t="s">
        <v>883</v>
      </c>
      <c r="I179" s="4" t="s">
        <v>76</v>
      </c>
      <c r="J179" s="4" t="s">
        <v>702</v>
      </c>
      <c r="K179" s="4" t="s">
        <v>884</v>
      </c>
    </row>
    <row r="180" spans="1:11" ht="19.649999999999999" customHeight="1">
      <c r="A180" s="4" t="s">
        <v>24</v>
      </c>
      <c r="B180" s="4" t="s">
        <v>306</v>
      </c>
      <c r="C180" s="4" t="s">
        <v>237</v>
      </c>
      <c r="D180" s="4" t="s">
        <v>71</v>
      </c>
      <c r="E180" s="4" t="s">
        <v>236</v>
      </c>
      <c r="F180" s="4" t="s">
        <v>53</v>
      </c>
      <c r="G180" s="4" t="s">
        <v>885</v>
      </c>
      <c r="H180" s="4" t="s">
        <v>886</v>
      </c>
      <c r="I180" s="4" t="s">
        <v>76</v>
      </c>
      <c r="J180" s="4" t="s">
        <v>542</v>
      </c>
      <c r="K180" s="4" t="s">
        <v>887</v>
      </c>
    </row>
    <row r="181" spans="1:11" ht="19.649999999999999" customHeight="1">
      <c r="A181" s="4" t="s">
        <v>24</v>
      </c>
      <c r="B181" s="4" t="s">
        <v>306</v>
      </c>
      <c r="C181" s="4" t="s">
        <v>182</v>
      </c>
      <c r="D181" s="4" t="s">
        <v>71</v>
      </c>
      <c r="E181" s="4" t="s">
        <v>183</v>
      </c>
      <c r="F181" s="4" t="s">
        <v>53</v>
      </c>
      <c r="G181" s="4" t="s">
        <v>888</v>
      </c>
      <c r="H181" s="4" t="s">
        <v>889</v>
      </c>
      <c r="I181" s="4" t="s">
        <v>801</v>
      </c>
      <c r="J181" s="4" t="s">
        <v>542</v>
      </c>
      <c r="K181" s="4" t="s">
        <v>890</v>
      </c>
    </row>
    <row r="182" spans="1:11" ht="19.649999999999999" customHeight="1">
      <c r="A182" s="4" t="s">
        <v>24</v>
      </c>
      <c r="B182" s="4" t="s">
        <v>310</v>
      </c>
      <c r="C182" s="4" t="s">
        <v>72</v>
      </c>
      <c r="D182" s="4" t="s">
        <v>71</v>
      </c>
      <c r="E182" s="4" t="s">
        <v>183</v>
      </c>
      <c r="F182" s="4" t="s">
        <v>53</v>
      </c>
      <c r="G182" s="4" t="s">
        <v>891</v>
      </c>
      <c r="H182" s="4" t="s">
        <v>892</v>
      </c>
      <c r="I182" s="4" t="s">
        <v>76</v>
      </c>
      <c r="J182" s="4" t="s">
        <v>542</v>
      </c>
      <c r="K182" s="8" t="s">
        <v>893</v>
      </c>
    </row>
    <row r="183" spans="1:11" ht="19.649999999999999" customHeight="1">
      <c r="A183" s="4" t="s">
        <v>24</v>
      </c>
      <c r="B183" s="4" t="s">
        <v>310</v>
      </c>
      <c r="C183" s="4" t="s">
        <v>182</v>
      </c>
      <c r="D183" s="4" t="s">
        <v>71</v>
      </c>
      <c r="E183" s="4" t="s">
        <v>183</v>
      </c>
      <c r="F183" s="4" t="s">
        <v>53</v>
      </c>
      <c r="G183" s="4" t="s">
        <v>894</v>
      </c>
      <c r="H183" s="4" t="s">
        <v>895</v>
      </c>
      <c r="I183" s="4" t="s">
        <v>120</v>
      </c>
      <c r="J183" s="4" t="s">
        <v>542</v>
      </c>
      <c r="K183" s="4" t="s">
        <v>896</v>
      </c>
    </row>
    <row r="184" spans="1:11" ht="19.649999999999999" customHeight="1">
      <c r="A184" s="4" t="s">
        <v>24</v>
      </c>
      <c r="B184" s="4" t="s">
        <v>313</v>
      </c>
      <c r="C184" s="4" t="s">
        <v>72</v>
      </c>
      <c r="D184" s="4" t="s">
        <v>71</v>
      </c>
      <c r="E184" s="4" t="s">
        <v>183</v>
      </c>
      <c r="F184" s="4" t="s">
        <v>53</v>
      </c>
      <c r="G184" s="4" t="s">
        <v>897</v>
      </c>
      <c r="H184" s="4" t="s">
        <v>898</v>
      </c>
      <c r="I184" s="4" t="s">
        <v>76</v>
      </c>
      <c r="J184" s="4" t="s">
        <v>542</v>
      </c>
      <c r="K184" s="8" t="s">
        <v>899</v>
      </c>
    </row>
    <row r="185" spans="1:11" ht="19.649999999999999" customHeight="1">
      <c r="A185" s="4" t="s">
        <v>24</v>
      </c>
      <c r="B185" s="4" t="s">
        <v>313</v>
      </c>
      <c r="C185" s="4" t="s">
        <v>182</v>
      </c>
      <c r="D185" s="4" t="s">
        <v>71</v>
      </c>
      <c r="E185" s="4" t="s">
        <v>183</v>
      </c>
      <c r="F185" s="4" t="s">
        <v>53</v>
      </c>
      <c r="G185" s="4" t="s">
        <v>900</v>
      </c>
      <c r="H185" s="4" t="s">
        <v>901</v>
      </c>
      <c r="I185" s="4" t="s">
        <v>76</v>
      </c>
      <c r="J185" s="4" t="s">
        <v>542</v>
      </c>
      <c r="K185" s="4" t="s">
        <v>902</v>
      </c>
    </row>
    <row r="186" spans="1:11" ht="19.649999999999999" customHeight="1">
      <c r="A186" s="4" t="s">
        <v>24</v>
      </c>
      <c r="B186" s="4" t="s">
        <v>316</v>
      </c>
      <c r="C186" s="4" t="s">
        <v>153</v>
      </c>
      <c r="D186" s="4" t="s">
        <v>27</v>
      </c>
      <c r="E186" s="4" t="s">
        <v>44</v>
      </c>
      <c r="F186" s="4" t="s">
        <v>53</v>
      </c>
      <c r="G186" s="4" t="s">
        <v>903</v>
      </c>
      <c r="H186" s="4" t="s">
        <v>904</v>
      </c>
      <c r="I186" s="4" t="s">
        <v>905</v>
      </c>
      <c r="J186" s="4" t="s">
        <v>395</v>
      </c>
      <c r="K186" s="4" t="s">
        <v>906</v>
      </c>
    </row>
    <row r="187" spans="1:11" ht="19.649999999999999" customHeight="1">
      <c r="A187" s="4" t="s">
        <v>24</v>
      </c>
      <c r="B187" s="4" t="s">
        <v>316</v>
      </c>
      <c r="C187" s="4" t="s">
        <v>216</v>
      </c>
      <c r="D187" s="4" t="s">
        <v>27</v>
      </c>
      <c r="E187" s="4" t="s">
        <v>44</v>
      </c>
      <c r="F187" s="4" t="s">
        <v>53</v>
      </c>
      <c r="G187" s="4" t="s">
        <v>907</v>
      </c>
      <c r="H187" s="4" t="s">
        <v>908</v>
      </c>
      <c r="I187" s="4" t="s">
        <v>32</v>
      </c>
      <c r="J187" s="4" t="s">
        <v>395</v>
      </c>
      <c r="K187" s="4" t="s">
        <v>909</v>
      </c>
    </row>
    <row r="188" spans="1:11" ht="19.649999999999999" customHeight="1">
      <c r="A188" s="4" t="s">
        <v>24</v>
      </c>
      <c r="B188" s="4" t="s">
        <v>319</v>
      </c>
      <c r="C188" s="4" t="s">
        <v>237</v>
      </c>
      <c r="D188" s="4" t="s">
        <v>71</v>
      </c>
      <c r="E188" s="4" t="s">
        <v>236</v>
      </c>
      <c r="F188" s="4" t="s">
        <v>53</v>
      </c>
      <c r="G188" s="4" t="s">
        <v>910</v>
      </c>
      <c r="H188" s="4" t="s">
        <v>911</v>
      </c>
      <c r="I188" s="4" t="s">
        <v>76</v>
      </c>
      <c r="J188" s="4" t="s">
        <v>395</v>
      </c>
      <c r="K188" s="4" t="s">
        <v>912</v>
      </c>
    </row>
    <row r="189" spans="1:11" ht="19.649999999999999" customHeight="1">
      <c r="A189" s="4" t="s">
        <v>24</v>
      </c>
      <c r="B189" s="4" t="s">
        <v>321</v>
      </c>
      <c r="C189" s="4" t="s">
        <v>43</v>
      </c>
      <c r="D189" s="4" t="s">
        <v>27</v>
      </c>
      <c r="E189" s="4" t="s">
        <v>45</v>
      </c>
      <c r="F189" s="4" t="s">
        <v>53</v>
      </c>
      <c r="G189" s="4" t="s">
        <v>913</v>
      </c>
      <c r="H189" s="4" t="s">
        <v>914</v>
      </c>
      <c r="I189" s="4" t="s">
        <v>48</v>
      </c>
      <c r="J189" s="4" t="s">
        <v>395</v>
      </c>
      <c r="K189" s="4" t="s">
        <v>915</v>
      </c>
    </row>
    <row r="190" spans="1:11" ht="19.649999999999999" customHeight="1">
      <c r="A190" s="4" t="s">
        <v>24</v>
      </c>
      <c r="B190" s="4" t="s">
        <v>321</v>
      </c>
      <c r="C190" s="4" t="s">
        <v>83</v>
      </c>
      <c r="D190" s="4" t="s">
        <v>27</v>
      </c>
      <c r="E190" s="4" t="s">
        <v>44</v>
      </c>
      <c r="F190" s="4" t="s">
        <v>53</v>
      </c>
      <c r="G190" s="4" t="s">
        <v>916</v>
      </c>
      <c r="H190" s="4" t="s">
        <v>917</v>
      </c>
      <c r="I190" s="4" t="s">
        <v>32</v>
      </c>
      <c r="J190" s="4" t="s">
        <v>395</v>
      </c>
      <c r="K190" s="4" t="s">
        <v>918</v>
      </c>
    </row>
    <row r="191" spans="1:11" ht="19.649999999999999" customHeight="1">
      <c r="A191" s="4" t="s">
        <v>24</v>
      </c>
      <c r="B191" s="4" t="s">
        <v>321</v>
      </c>
      <c r="C191" s="4" t="s">
        <v>28</v>
      </c>
      <c r="D191" s="4" t="s">
        <v>27</v>
      </c>
      <c r="E191" s="4" t="s">
        <v>44</v>
      </c>
      <c r="F191" s="4" t="s">
        <v>34</v>
      </c>
      <c r="G191" s="4" t="s">
        <v>919</v>
      </c>
      <c r="H191" s="4" t="s">
        <v>920</v>
      </c>
      <c r="I191" s="4" t="s">
        <v>32</v>
      </c>
      <c r="J191" s="4" t="s">
        <v>521</v>
      </c>
      <c r="K191" s="4" t="s">
        <v>921</v>
      </c>
    </row>
    <row r="192" spans="1:11" ht="19.649999999999999" customHeight="1">
      <c r="A192" s="4" t="s">
        <v>24</v>
      </c>
      <c r="B192" s="4" t="s">
        <v>324</v>
      </c>
      <c r="C192" s="4" t="s">
        <v>72</v>
      </c>
      <c r="D192" s="4" t="s">
        <v>71</v>
      </c>
      <c r="E192" s="4" t="s">
        <v>183</v>
      </c>
      <c r="F192" s="4" t="s">
        <v>34</v>
      </c>
      <c r="G192" s="4" t="s">
        <v>922</v>
      </c>
      <c r="H192" s="4" t="s">
        <v>923</v>
      </c>
      <c r="I192" s="4" t="s">
        <v>76</v>
      </c>
      <c r="J192" s="4" t="s">
        <v>521</v>
      </c>
      <c r="K192" s="4" t="s">
        <v>924</v>
      </c>
    </row>
    <row r="193" spans="1:11" ht="19.649999999999999" customHeight="1">
      <c r="A193" s="4" t="s">
        <v>24</v>
      </c>
      <c r="B193" s="4" t="s">
        <v>324</v>
      </c>
      <c r="C193" s="4" t="s">
        <v>325</v>
      </c>
      <c r="D193" s="4" t="s">
        <v>71</v>
      </c>
      <c r="E193" s="4" t="s">
        <v>236</v>
      </c>
      <c r="F193" s="4" t="s">
        <v>34</v>
      </c>
      <c r="G193" s="4" t="s">
        <v>925</v>
      </c>
      <c r="H193" s="4" t="s">
        <v>926</v>
      </c>
      <c r="I193" s="4" t="s">
        <v>120</v>
      </c>
      <c r="J193" s="4" t="s">
        <v>521</v>
      </c>
      <c r="K193" s="4" t="s">
        <v>927</v>
      </c>
    </row>
    <row r="194" spans="1:11" ht="19.649999999999999" customHeight="1">
      <c r="A194" s="4" t="s">
        <v>24</v>
      </c>
      <c r="B194" s="4" t="s">
        <v>328</v>
      </c>
      <c r="C194" s="4" t="s">
        <v>153</v>
      </c>
      <c r="D194" s="4" t="s">
        <v>27</v>
      </c>
      <c r="E194" s="4" t="s">
        <v>44</v>
      </c>
      <c r="F194" s="4" t="s">
        <v>53</v>
      </c>
      <c r="G194" s="4" t="s">
        <v>928</v>
      </c>
      <c r="H194" s="4" t="s">
        <v>929</v>
      </c>
      <c r="I194" s="4" t="s">
        <v>32</v>
      </c>
      <c r="J194" s="4" t="s">
        <v>395</v>
      </c>
      <c r="K194" s="8" t="s">
        <v>930</v>
      </c>
    </row>
    <row r="195" spans="1:11" ht="19.649999999999999" customHeight="1">
      <c r="A195" s="4" t="s">
        <v>24</v>
      </c>
      <c r="B195" s="4" t="s">
        <v>328</v>
      </c>
      <c r="C195" s="4" t="s">
        <v>60</v>
      </c>
      <c r="D195" s="4" t="s">
        <v>27</v>
      </c>
      <c r="E195" s="4" t="s">
        <v>45</v>
      </c>
      <c r="F195" s="4" t="s">
        <v>53</v>
      </c>
      <c r="G195" s="4" t="s">
        <v>931</v>
      </c>
      <c r="H195" s="4" t="s">
        <v>932</v>
      </c>
      <c r="I195" s="4" t="s">
        <v>48</v>
      </c>
      <c r="J195" s="4" t="s">
        <v>395</v>
      </c>
      <c r="K195" s="4" t="s">
        <v>933</v>
      </c>
    </row>
    <row r="196" spans="1:11" ht="19.649999999999999" customHeight="1">
      <c r="A196" s="4" t="s">
        <v>24</v>
      </c>
      <c r="B196" s="4" t="s">
        <v>330</v>
      </c>
      <c r="C196" s="4" t="s">
        <v>72</v>
      </c>
      <c r="D196" s="4" t="s">
        <v>71</v>
      </c>
      <c r="E196" s="4" t="s">
        <v>183</v>
      </c>
      <c r="F196" s="4" t="s">
        <v>53</v>
      </c>
      <c r="G196" s="4" t="s">
        <v>934</v>
      </c>
      <c r="H196" s="4" t="s">
        <v>935</v>
      </c>
      <c r="I196" s="4" t="s">
        <v>76</v>
      </c>
      <c r="J196" s="4" t="s">
        <v>395</v>
      </c>
      <c r="K196" s="4" t="s">
        <v>936</v>
      </c>
    </row>
  </sheetData>
  <mergeCells count="2">
    <mergeCell ref="A2:K2"/>
    <mergeCell ref="A1:K1"/>
  </mergeCells>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9"/>
  <sheetViews>
    <sheetView workbookViewId="0"/>
  </sheetViews>
  <sheetFormatPr defaultRowHeight="13.8"/>
  <cols>
    <col min="1" max="2" width="15" customWidth="1"/>
    <col min="3" max="3" width="16" customWidth="1"/>
    <col min="4" max="4" width="15" customWidth="1"/>
    <col min="5" max="5" width="32" customWidth="1"/>
    <col min="6" max="6" width="22" customWidth="1"/>
    <col min="7" max="7" width="48" customWidth="1"/>
    <col min="8" max="9" width="45" customWidth="1"/>
    <col min="10" max="10" width="38" customWidth="1"/>
  </cols>
  <sheetData>
    <row r="1" spans="1:10" ht="11.4" customHeight="1">
      <c r="A1" s="41" t="s">
        <v>937</v>
      </c>
      <c r="B1" s="40"/>
      <c r="C1" s="40"/>
      <c r="D1" s="40"/>
      <c r="E1" s="40"/>
      <c r="F1" s="40"/>
      <c r="G1" s="40"/>
      <c r="H1" s="40"/>
      <c r="I1" s="40"/>
      <c r="J1" s="40"/>
    </row>
    <row r="2" spans="1:10" ht="11.4" customHeight="1">
      <c r="A2" s="43" t="s">
        <v>938</v>
      </c>
      <c r="B2" s="40"/>
      <c r="C2" s="40"/>
      <c r="D2" s="40"/>
      <c r="E2" s="40"/>
      <c r="F2" s="40"/>
      <c r="G2" s="40"/>
      <c r="H2" s="40"/>
      <c r="I2" s="40"/>
      <c r="J2" s="40"/>
    </row>
    <row r="4" spans="1:10">
      <c r="A4" s="42" t="s">
        <v>939</v>
      </c>
      <c r="B4" s="40"/>
      <c r="C4" s="40"/>
      <c r="D4" s="40"/>
      <c r="E4" s="40"/>
    </row>
    <row r="5" spans="1:10" ht="21.15" customHeight="1">
      <c r="A5" s="1" t="s">
        <v>940</v>
      </c>
      <c r="B5" s="2" t="s">
        <v>941</v>
      </c>
      <c r="C5" s="2" t="s">
        <v>942</v>
      </c>
      <c r="D5" s="2" t="s">
        <v>943</v>
      </c>
      <c r="E5" s="3" t="s">
        <v>944</v>
      </c>
    </row>
    <row r="6" spans="1:10" ht="18.75" customHeight="1">
      <c r="A6" s="28" t="s">
        <v>45</v>
      </c>
      <c r="B6" s="29" t="s">
        <v>27</v>
      </c>
      <c r="C6" s="29" t="s">
        <v>945</v>
      </c>
      <c r="D6" s="29" t="s">
        <v>946</v>
      </c>
      <c r="E6" s="30" t="s">
        <v>947</v>
      </c>
    </row>
    <row r="7" spans="1:10" ht="18.75" customHeight="1">
      <c r="A7" s="31" t="s">
        <v>44</v>
      </c>
      <c r="B7" s="18" t="s">
        <v>27</v>
      </c>
      <c r="C7" s="18" t="s">
        <v>948</v>
      </c>
      <c r="D7" s="18" t="s">
        <v>949</v>
      </c>
      <c r="E7" s="32" t="s">
        <v>950</v>
      </c>
    </row>
    <row r="8" spans="1:10" ht="18.75" customHeight="1">
      <c r="A8" s="31" t="s">
        <v>112</v>
      </c>
      <c r="B8" s="18" t="s">
        <v>27</v>
      </c>
      <c r="C8" s="18" t="s">
        <v>951</v>
      </c>
      <c r="D8" s="18" t="s">
        <v>952</v>
      </c>
      <c r="E8" s="32" t="s">
        <v>953</v>
      </c>
    </row>
    <row r="9" spans="1:10" ht="18.75" customHeight="1">
      <c r="A9" s="31" t="s">
        <v>236</v>
      </c>
      <c r="B9" s="18" t="s">
        <v>71</v>
      </c>
      <c r="C9" s="18" t="s">
        <v>954</v>
      </c>
      <c r="D9" s="18" t="s">
        <v>955</v>
      </c>
      <c r="E9" s="32" t="s">
        <v>956</v>
      </c>
    </row>
    <row r="10" spans="1:10" ht="18.75" customHeight="1">
      <c r="A10" s="33" t="s">
        <v>183</v>
      </c>
      <c r="B10" s="34" t="s">
        <v>71</v>
      </c>
      <c r="C10" s="34" t="s">
        <v>957</v>
      </c>
      <c r="D10" s="34" t="s">
        <v>958</v>
      </c>
      <c r="E10" s="35" t="s">
        <v>959</v>
      </c>
    </row>
    <row r="11" spans="1:10">
      <c r="A11" s="42" t="s">
        <v>960</v>
      </c>
      <c r="B11" s="40"/>
      <c r="C11" s="40"/>
      <c r="D11" s="40"/>
      <c r="E11" s="40"/>
      <c r="F11" s="40"/>
      <c r="G11" s="40"/>
      <c r="H11" s="40"/>
      <c r="I11" s="40"/>
      <c r="J11" s="40"/>
    </row>
    <row r="12" spans="1:10" ht="17.100000000000001" customHeight="1">
      <c r="A12" s="1" t="s">
        <v>940</v>
      </c>
      <c r="B12" s="2" t="s">
        <v>5</v>
      </c>
      <c r="C12" s="2" t="s">
        <v>4</v>
      </c>
      <c r="D12" s="2" t="s">
        <v>335</v>
      </c>
      <c r="E12" s="2" t="s">
        <v>961</v>
      </c>
      <c r="F12" s="2" t="s">
        <v>962</v>
      </c>
      <c r="G12" s="2" t="s">
        <v>963</v>
      </c>
      <c r="H12" s="2" t="s">
        <v>964</v>
      </c>
      <c r="I12" s="2" t="s">
        <v>965</v>
      </c>
      <c r="J12" s="3" t="s">
        <v>966</v>
      </c>
    </row>
    <row r="13" spans="1:10" ht="25.35" customHeight="1">
      <c r="A13" s="20" t="s">
        <v>43</v>
      </c>
      <c r="B13" s="21" t="s">
        <v>27</v>
      </c>
      <c r="C13" s="21" t="s">
        <v>26</v>
      </c>
      <c r="D13" s="21" t="s">
        <v>45</v>
      </c>
      <c r="E13" s="21" t="s">
        <v>967</v>
      </c>
      <c r="F13" s="21" t="s">
        <v>968</v>
      </c>
      <c r="G13" s="21" t="s">
        <v>969</v>
      </c>
      <c r="H13" s="21" t="s">
        <v>970</v>
      </c>
      <c r="I13" s="21" t="s">
        <v>971</v>
      </c>
      <c r="J13" s="22" t="s">
        <v>972</v>
      </c>
    </row>
    <row r="14" spans="1:10" ht="25.35" customHeight="1">
      <c r="A14" s="23" t="s">
        <v>94</v>
      </c>
      <c r="B14" s="19" t="s">
        <v>27</v>
      </c>
      <c r="C14" s="19" t="s">
        <v>26</v>
      </c>
      <c r="D14" s="19" t="s">
        <v>45</v>
      </c>
      <c r="E14" s="19" t="s">
        <v>973</v>
      </c>
      <c r="F14" s="19" t="s">
        <v>974</v>
      </c>
      <c r="G14" s="19" t="s">
        <v>975</v>
      </c>
      <c r="H14" s="19" t="s">
        <v>976</v>
      </c>
      <c r="I14" s="19" t="s">
        <v>977</v>
      </c>
      <c r="J14" s="24" t="s">
        <v>978</v>
      </c>
    </row>
    <row r="15" spans="1:10" ht="25.35" customHeight="1">
      <c r="A15" s="23" t="s">
        <v>83</v>
      </c>
      <c r="B15" s="19" t="s">
        <v>27</v>
      </c>
      <c r="C15" s="19" t="s">
        <v>26</v>
      </c>
      <c r="D15" s="19" t="s">
        <v>44</v>
      </c>
      <c r="E15" s="19" t="s">
        <v>979</v>
      </c>
      <c r="F15" s="19" t="s">
        <v>980</v>
      </c>
      <c r="G15" s="19" t="s">
        <v>981</v>
      </c>
      <c r="H15" s="19" t="s">
        <v>982</v>
      </c>
      <c r="I15" s="19" t="s">
        <v>983</v>
      </c>
      <c r="J15" s="24" t="s">
        <v>984</v>
      </c>
    </row>
    <row r="16" spans="1:10" ht="25.35" customHeight="1">
      <c r="A16" s="23" t="s">
        <v>28</v>
      </c>
      <c r="B16" s="19" t="s">
        <v>27</v>
      </c>
      <c r="C16" s="19" t="s">
        <v>26</v>
      </c>
      <c r="D16" s="19" t="s">
        <v>44</v>
      </c>
      <c r="E16" s="19" t="s">
        <v>985</v>
      </c>
      <c r="F16" s="19" t="s">
        <v>986</v>
      </c>
      <c r="G16" s="19" t="s">
        <v>987</v>
      </c>
      <c r="H16" s="19" t="s">
        <v>988</v>
      </c>
      <c r="I16" s="19" t="s">
        <v>989</v>
      </c>
      <c r="J16" s="24" t="s">
        <v>990</v>
      </c>
    </row>
    <row r="17" spans="1:10" ht="25.35" customHeight="1">
      <c r="A17" s="23" t="s">
        <v>472</v>
      </c>
      <c r="B17" s="19" t="s">
        <v>27</v>
      </c>
      <c r="C17" s="19" t="s">
        <v>26</v>
      </c>
      <c r="D17" s="19" t="s">
        <v>44</v>
      </c>
      <c r="E17" s="19" t="s">
        <v>991</v>
      </c>
      <c r="F17" s="19" t="s">
        <v>992</v>
      </c>
      <c r="G17" s="19" t="s">
        <v>993</v>
      </c>
      <c r="H17" s="19" t="s">
        <v>994</v>
      </c>
      <c r="I17" s="19" t="s">
        <v>995</v>
      </c>
      <c r="J17" s="24" t="s">
        <v>996</v>
      </c>
    </row>
    <row r="18" spans="1:10" ht="25.35" customHeight="1">
      <c r="A18" s="23" t="s">
        <v>139</v>
      </c>
      <c r="B18" s="19" t="s">
        <v>27</v>
      </c>
      <c r="C18" s="19" t="s">
        <v>26</v>
      </c>
      <c r="D18" s="19" t="s">
        <v>112</v>
      </c>
      <c r="E18" s="19" t="s">
        <v>997</v>
      </c>
      <c r="F18" s="19" t="s">
        <v>998</v>
      </c>
      <c r="G18" s="19" t="s">
        <v>999</v>
      </c>
      <c r="H18" s="19" t="s">
        <v>1000</v>
      </c>
      <c r="I18" s="19" t="s">
        <v>1001</v>
      </c>
      <c r="J18" s="24" t="s">
        <v>1002</v>
      </c>
    </row>
    <row r="19" spans="1:10" ht="25.35" customHeight="1">
      <c r="A19" s="23" t="s">
        <v>111</v>
      </c>
      <c r="B19" s="19" t="s">
        <v>27</v>
      </c>
      <c r="C19" s="19" t="s">
        <v>26</v>
      </c>
      <c r="D19" s="19" t="s">
        <v>112</v>
      </c>
      <c r="E19" s="19" t="s">
        <v>1003</v>
      </c>
      <c r="F19" s="19" t="s">
        <v>1004</v>
      </c>
      <c r="G19" s="19" t="s">
        <v>1005</v>
      </c>
      <c r="H19" s="19" t="s">
        <v>1006</v>
      </c>
      <c r="I19" s="19" t="s">
        <v>1007</v>
      </c>
      <c r="J19" s="24" t="s">
        <v>1008</v>
      </c>
    </row>
    <row r="20" spans="1:10" ht="25.35" customHeight="1">
      <c r="A20" s="23" t="s">
        <v>60</v>
      </c>
      <c r="B20" s="19" t="s">
        <v>27</v>
      </c>
      <c r="C20" s="19" t="s">
        <v>65</v>
      </c>
      <c r="D20" s="19" t="s">
        <v>45</v>
      </c>
      <c r="E20" s="19" t="s">
        <v>1009</v>
      </c>
      <c r="F20" s="19" t="s">
        <v>1010</v>
      </c>
      <c r="G20" s="19" t="s">
        <v>1011</v>
      </c>
      <c r="H20" s="19" t="s">
        <v>1012</v>
      </c>
      <c r="I20" s="19" t="s">
        <v>1013</v>
      </c>
      <c r="J20" s="24" t="s">
        <v>1014</v>
      </c>
    </row>
    <row r="21" spans="1:10" ht="25.35" customHeight="1">
      <c r="A21" s="23" t="s">
        <v>191</v>
      </c>
      <c r="B21" s="19" t="s">
        <v>27</v>
      </c>
      <c r="C21" s="19" t="s">
        <v>65</v>
      </c>
      <c r="D21" s="19" t="s">
        <v>45</v>
      </c>
      <c r="E21" s="19" t="s">
        <v>1015</v>
      </c>
      <c r="F21" s="19" t="s">
        <v>1016</v>
      </c>
      <c r="G21" s="19" t="s">
        <v>1017</v>
      </c>
      <c r="H21" s="19" t="s">
        <v>1018</v>
      </c>
      <c r="I21" s="19" t="s">
        <v>1019</v>
      </c>
      <c r="J21" s="24" t="s">
        <v>1020</v>
      </c>
    </row>
    <row r="22" spans="1:10" ht="25.35" customHeight="1">
      <c r="A22" s="23" t="s">
        <v>419</v>
      </c>
      <c r="B22" s="19" t="s">
        <v>27</v>
      </c>
      <c r="C22" s="19" t="s">
        <v>65</v>
      </c>
      <c r="D22" s="19" t="s">
        <v>45</v>
      </c>
      <c r="E22" s="19" t="s">
        <v>1021</v>
      </c>
      <c r="F22" s="19" t="s">
        <v>1022</v>
      </c>
      <c r="G22" s="19" t="s">
        <v>1023</v>
      </c>
      <c r="H22" s="19" t="s">
        <v>1024</v>
      </c>
      <c r="I22" s="19" t="s">
        <v>1025</v>
      </c>
      <c r="J22" s="24" t="s">
        <v>1026</v>
      </c>
    </row>
    <row r="23" spans="1:10" ht="25.35" customHeight="1">
      <c r="A23" s="23" t="s">
        <v>153</v>
      </c>
      <c r="B23" s="19" t="s">
        <v>27</v>
      </c>
      <c r="C23" s="19" t="s">
        <v>65</v>
      </c>
      <c r="D23" s="19" t="s">
        <v>44</v>
      </c>
      <c r="E23" s="19" t="s">
        <v>1027</v>
      </c>
      <c r="F23" s="19" t="s">
        <v>1028</v>
      </c>
      <c r="G23" s="19" t="s">
        <v>1029</v>
      </c>
      <c r="H23" s="19" t="s">
        <v>1030</v>
      </c>
      <c r="I23" s="19" t="s">
        <v>1031</v>
      </c>
      <c r="J23" s="24" t="s">
        <v>1032</v>
      </c>
    </row>
    <row r="24" spans="1:10" ht="25.35" customHeight="1">
      <c r="A24" s="23" t="s">
        <v>216</v>
      </c>
      <c r="B24" s="19" t="s">
        <v>27</v>
      </c>
      <c r="C24" s="19" t="s">
        <v>65</v>
      </c>
      <c r="D24" s="19" t="s">
        <v>44</v>
      </c>
      <c r="E24" s="19" t="s">
        <v>1033</v>
      </c>
      <c r="F24" s="19" t="s">
        <v>1034</v>
      </c>
      <c r="G24" s="19" t="s">
        <v>1035</v>
      </c>
      <c r="H24" s="19" t="s">
        <v>1036</v>
      </c>
      <c r="I24" s="19" t="s">
        <v>1037</v>
      </c>
      <c r="J24" s="24" t="s">
        <v>1038</v>
      </c>
    </row>
    <row r="25" spans="1:10" ht="25.35" customHeight="1">
      <c r="A25" s="23" t="s">
        <v>149</v>
      </c>
      <c r="B25" s="19" t="s">
        <v>27</v>
      </c>
      <c r="C25" s="19" t="s">
        <v>65</v>
      </c>
      <c r="D25" s="19" t="s">
        <v>112</v>
      </c>
      <c r="E25" s="19" t="s">
        <v>1039</v>
      </c>
      <c r="F25" s="19" t="s">
        <v>1040</v>
      </c>
      <c r="G25" s="19" t="s">
        <v>1041</v>
      </c>
      <c r="H25" s="19" t="s">
        <v>1042</v>
      </c>
      <c r="I25" s="19" t="s">
        <v>1043</v>
      </c>
      <c r="J25" s="24" t="s">
        <v>1044</v>
      </c>
    </row>
    <row r="26" spans="1:10" ht="25.35" customHeight="1">
      <c r="A26" s="23" t="s">
        <v>211</v>
      </c>
      <c r="B26" s="19" t="s">
        <v>27</v>
      </c>
      <c r="C26" s="19" t="s">
        <v>65</v>
      </c>
      <c r="D26" s="19" t="s">
        <v>112</v>
      </c>
      <c r="E26" s="19" t="s">
        <v>1045</v>
      </c>
      <c r="F26" s="19" t="s">
        <v>1046</v>
      </c>
      <c r="G26" s="19" t="s">
        <v>1047</v>
      </c>
      <c r="H26" s="19" t="s">
        <v>1048</v>
      </c>
      <c r="I26" s="19" t="s">
        <v>1049</v>
      </c>
      <c r="J26" s="24" t="s">
        <v>1050</v>
      </c>
    </row>
    <row r="27" spans="1:10" ht="25.35" customHeight="1">
      <c r="A27" s="23" t="s">
        <v>325</v>
      </c>
      <c r="B27" s="19" t="s">
        <v>71</v>
      </c>
      <c r="C27" s="19" t="s">
        <v>1051</v>
      </c>
      <c r="D27" s="19" t="s">
        <v>236</v>
      </c>
      <c r="E27" s="19" t="s">
        <v>1052</v>
      </c>
      <c r="F27" s="19" t="s">
        <v>1053</v>
      </c>
      <c r="G27" s="19" t="s">
        <v>1054</v>
      </c>
      <c r="H27" s="19" t="s">
        <v>1055</v>
      </c>
      <c r="I27" s="19" t="s">
        <v>1056</v>
      </c>
      <c r="J27" s="24" t="s">
        <v>1057</v>
      </c>
    </row>
    <row r="28" spans="1:10" ht="25.35" customHeight="1">
      <c r="A28" s="23" t="s">
        <v>237</v>
      </c>
      <c r="B28" s="19" t="s">
        <v>71</v>
      </c>
      <c r="C28" s="19" t="s">
        <v>1051</v>
      </c>
      <c r="D28" s="19" t="s">
        <v>236</v>
      </c>
      <c r="E28" s="19" t="s">
        <v>1058</v>
      </c>
      <c r="F28" s="19" t="s">
        <v>1059</v>
      </c>
      <c r="G28" s="19" t="s">
        <v>1060</v>
      </c>
      <c r="H28" s="19" t="s">
        <v>1061</v>
      </c>
      <c r="I28" s="19" t="s">
        <v>1062</v>
      </c>
      <c r="J28" s="24" t="s">
        <v>1063</v>
      </c>
    </row>
    <row r="29" spans="1:10" ht="25.35" customHeight="1">
      <c r="A29" s="23" t="s">
        <v>252</v>
      </c>
      <c r="B29" s="19" t="s">
        <v>71</v>
      </c>
      <c r="C29" s="19" t="s">
        <v>1051</v>
      </c>
      <c r="D29" s="19" t="s">
        <v>236</v>
      </c>
      <c r="E29" s="19" t="s">
        <v>1064</v>
      </c>
      <c r="F29" s="19" t="s">
        <v>1065</v>
      </c>
      <c r="G29" s="19" t="s">
        <v>1066</v>
      </c>
      <c r="H29" s="19" t="s">
        <v>1067</v>
      </c>
      <c r="I29" s="19" t="s">
        <v>1068</v>
      </c>
      <c r="J29" s="24" t="s">
        <v>1069</v>
      </c>
    </row>
    <row r="30" spans="1:10" ht="25.35" customHeight="1">
      <c r="A30" s="23" t="s">
        <v>72</v>
      </c>
      <c r="B30" s="19" t="s">
        <v>71</v>
      </c>
      <c r="C30" s="19" t="s">
        <v>1051</v>
      </c>
      <c r="D30" s="19" t="s">
        <v>183</v>
      </c>
      <c r="E30" s="19" t="s">
        <v>1070</v>
      </c>
      <c r="F30" s="19" t="s">
        <v>1071</v>
      </c>
      <c r="G30" s="19" t="s">
        <v>1072</v>
      </c>
      <c r="H30" s="19" t="s">
        <v>1073</v>
      </c>
      <c r="I30" s="19" t="s">
        <v>1074</v>
      </c>
      <c r="J30" s="24" t="s">
        <v>1075</v>
      </c>
    </row>
    <row r="31" spans="1:10" ht="25.35" customHeight="1">
      <c r="A31" s="25" t="s">
        <v>182</v>
      </c>
      <c r="B31" s="26" t="s">
        <v>71</v>
      </c>
      <c r="C31" s="26" t="s">
        <v>1051</v>
      </c>
      <c r="D31" s="26" t="s">
        <v>183</v>
      </c>
      <c r="E31" s="26" t="s">
        <v>1076</v>
      </c>
      <c r="F31" s="26" t="s">
        <v>1077</v>
      </c>
      <c r="G31" s="26" t="s">
        <v>1078</v>
      </c>
      <c r="H31" s="26" t="s">
        <v>1079</v>
      </c>
      <c r="I31" s="26" t="s">
        <v>1080</v>
      </c>
      <c r="J31" s="27" t="s">
        <v>1081</v>
      </c>
    </row>
    <row r="33" spans="1:4">
      <c r="A33" s="42" t="s">
        <v>1082</v>
      </c>
      <c r="B33" s="40"/>
      <c r="C33" s="40"/>
      <c r="D33" s="40"/>
    </row>
    <row r="34" spans="1:4" ht="21.15" customHeight="1">
      <c r="A34" s="1" t="s">
        <v>940</v>
      </c>
      <c r="B34" s="2" t="s">
        <v>961</v>
      </c>
      <c r="C34" s="2" t="s">
        <v>962</v>
      </c>
      <c r="D34" s="3" t="s">
        <v>963</v>
      </c>
    </row>
    <row r="35" spans="1:4" ht="15.45" customHeight="1">
      <c r="A35" s="28" t="s">
        <v>48</v>
      </c>
      <c r="B35" s="29" t="s">
        <v>1083</v>
      </c>
      <c r="C35" s="29" t="s">
        <v>1084</v>
      </c>
      <c r="D35" s="30" t="s">
        <v>1085</v>
      </c>
    </row>
    <row r="36" spans="1:4" ht="15.45" customHeight="1">
      <c r="A36" s="31" t="s">
        <v>32</v>
      </c>
      <c r="B36" s="18" t="s">
        <v>1086</v>
      </c>
      <c r="C36" s="18" t="s">
        <v>1087</v>
      </c>
      <c r="D36" s="32" t="s">
        <v>1088</v>
      </c>
    </row>
    <row r="37" spans="1:4" ht="15.45" customHeight="1">
      <c r="A37" s="31" t="s">
        <v>113</v>
      </c>
      <c r="B37" s="18" t="s">
        <v>1089</v>
      </c>
      <c r="C37" s="18" t="s">
        <v>1090</v>
      </c>
      <c r="D37" s="32" t="s">
        <v>1091</v>
      </c>
    </row>
    <row r="38" spans="1:4" ht="15.45" customHeight="1">
      <c r="A38" s="31" t="s">
        <v>76</v>
      </c>
      <c r="B38" s="18" t="s">
        <v>1092</v>
      </c>
      <c r="C38" s="18" t="s">
        <v>1093</v>
      </c>
      <c r="D38" s="32" t="s">
        <v>1094</v>
      </c>
    </row>
    <row r="39" spans="1:4" ht="15.45" customHeight="1">
      <c r="A39" s="33" t="s">
        <v>120</v>
      </c>
      <c r="B39" s="34" t="s">
        <v>1095</v>
      </c>
      <c r="C39" s="34" t="s">
        <v>1096</v>
      </c>
      <c r="D39" s="35" t="s">
        <v>1097</v>
      </c>
    </row>
  </sheetData>
  <mergeCells count="5">
    <mergeCell ref="A1:J1"/>
    <mergeCell ref="A4:E4"/>
    <mergeCell ref="A33:D33"/>
    <mergeCell ref="A2:J2"/>
    <mergeCell ref="A11:J11"/>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9"/>
  <sheetViews>
    <sheetView workbookViewId="0"/>
  </sheetViews>
  <sheetFormatPr defaultRowHeight="13.8"/>
  <cols>
    <col min="1" max="1" width="23" customWidth="1"/>
    <col min="2" max="2" width="30" customWidth="1"/>
    <col min="3" max="3" width="43" customWidth="1"/>
    <col min="4" max="4" width="32" customWidth="1"/>
    <col min="5" max="5" width="38" customWidth="1"/>
    <col min="6" max="6" width="34" customWidth="1"/>
  </cols>
  <sheetData>
    <row r="1" spans="1:6" ht="11.4" customHeight="1">
      <c r="A1" s="41" t="s">
        <v>1098</v>
      </c>
      <c r="B1" s="40"/>
      <c r="C1" s="40"/>
      <c r="D1" s="40"/>
      <c r="E1" s="40"/>
      <c r="F1" s="40"/>
    </row>
    <row r="2" spans="1:6" ht="12.3" customHeight="1">
      <c r="A2" s="43" t="s">
        <v>1099</v>
      </c>
      <c r="B2" s="40"/>
      <c r="C2" s="40"/>
      <c r="D2" s="40"/>
      <c r="E2" s="40"/>
      <c r="F2" s="40"/>
    </row>
    <row r="4" spans="1:6">
      <c r="A4" s="42" t="s">
        <v>1100</v>
      </c>
      <c r="B4" s="40"/>
      <c r="C4" s="40"/>
      <c r="D4" s="40"/>
      <c r="E4" s="40"/>
      <c r="F4" s="40"/>
    </row>
    <row r="5" spans="1:6">
      <c r="A5" s="1" t="s">
        <v>1101</v>
      </c>
      <c r="B5" s="2" t="s">
        <v>1102</v>
      </c>
      <c r="C5" s="2" t="s">
        <v>1103</v>
      </c>
      <c r="D5" s="2" t="s">
        <v>1104</v>
      </c>
      <c r="E5" s="2" t="s">
        <v>1105</v>
      </c>
      <c r="F5" s="3" t="s">
        <v>1106</v>
      </c>
    </row>
    <row r="6" spans="1:6" ht="19.649999999999999" customHeight="1">
      <c r="A6" s="20">
        <v>1</v>
      </c>
      <c r="B6" s="21" t="s">
        <v>1107</v>
      </c>
      <c r="C6" s="21" t="s">
        <v>1108</v>
      </c>
      <c r="D6" s="21" t="s">
        <v>1109</v>
      </c>
      <c r="E6" s="21" t="s">
        <v>1110</v>
      </c>
      <c r="F6" s="22" t="s">
        <v>1111</v>
      </c>
    </row>
    <row r="7" spans="1:6" ht="19.649999999999999" customHeight="1">
      <c r="A7" s="23">
        <v>2</v>
      </c>
      <c r="B7" s="19" t="s">
        <v>1112</v>
      </c>
      <c r="C7" s="19" t="s">
        <v>1113</v>
      </c>
      <c r="D7" s="19" t="s">
        <v>1114</v>
      </c>
      <c r="E7" s="19" t="s">
        <v>1115</v>
      </c>
      <c r="F7" s="24" t="s">
        <v>1116</v>
      </c>
    </row>
    <row r="8" spans="1:6" ht="19.649999999999999" customHeight="1">
      <c r="A8" s="23">
        <v>3</v>
      </c>
      <c r="B8" s="19" t="s">
        <v>1117</v>
      </c>
      <c r="C8" s="19" t="s">
        <v>1118</v>
      </c>
      <c r="D8" s="19" t="s">
        <v>1119</v>
      </c>
      <c r="E8" s="19" t="s">
        <v>1120</v>
      </c>
      <c r="F8" s="24" t="s">
        <v>1121</v>
      </c>
    </row>
    <row r="9" spans="1:6" ht="19.649999999999999" customHeight="1">
      <c r="A9" s="23">
        <v>4</v>
      </c>
      <c r="B9" s="19" t="s">
        <v>1122</v>
      </c>
      <c r="C9" s="19" t="s">
        <v>1123</v>
      </c>
      <c r="D9" s="19" t="s">
        <v>1124</v>
      </c>
      <c r="E9" s="19" t="s">
        <v>1125</v>
      </c>
      <c r="F9" s="24" t="s">
        <v>1126</v>
      </c>
    </row>
    <row r="10" spans="1:6" ht="19.649999999999999" customHeight="1">
      <c r="A10" s="23">
        <v>5</v>
      </c>
      <c r="B10" s="19" t="s">
        <v>1127</v>
      </c>
      <c r="C10" s="19" t="s">
        <v>1128</v>
      </c>
      <c r="D10" s="19" t="s">
        <v>1129</v>
      </c>
      <c r="E10" s="19" t="s">
        <v>1130</v>
      </c>
      <c r="F10" s="24" t="s">
        <v>1131</v>
      </c>
    </row>
    <row r="11" spans="1:6" ht="19.649999999999999" customHeight="1">
      <c r="A11" s="23">
        <v>6</v>
      </c>
      <c r="B11" s="19" t="s">
        <v>1132</v>
      </c>
      <c r="C11" s="19" t="s">
        <v>1133</v>
      </c>
      <c r="D11" s="19" t="s">
        <v>1134</v>
      </c>
      <c r="E11" s="19" t="s">
        <v>1135</v>
      </c>
      <c r="F11" s="24" t="s">
        <v>1136</v>
      </c>
    </row>
    <row r="12" spans="1:6" ht="19.649999999999999" customHeight="1">
      <c r="A12" s="25">
        <v>7</v>
      </c>
      <c r="B12" s="26" t="s">
        <v>1137</v>
      </c>
      <c r="C12" s="26" t="s">
        <v>1138</v>
      </c>
      <c r="D12" s="26" t="s">
        <v>1139</v>
      </c>
      <c r="E12" s="26" t="s">
        <v>1140</v>
      </c>
      <c r="F12" s="27" t="s">
        <v>1141</v>
      </c>
    </row>
    <row r="14" spans="1:6">
      <c r="A14" s="42" t="s">
        <v>1142</v>
      </c>
      <c r="B14" s="40"/>
      <c r="C14" s="40"/>
      <c r="D14" s="40"/>
      <c r="E14" s="40"/>
      <c r="F14" s="40"/>
    </row>
    <row r="15" spans="1:6">
      <c r="A15" s="1" t="s">
        <v>1143</v>
      </c>
      <c r="B15" s="2" t="s">
        <v>943</v>
      </c>
      <c r="C15" s="2" t="s">
        <v>1144</v>
      </c>
      <c r="D15" s="2" t="s">
        <v>1145</v>
      </c>
      <c r="E15" s="2" t="s">
        <v>1146</v>
      </c>
      <c r="F15" s="3" t="s">
        <v>1147</v>
      </c>
    </row>
    <row r="16" spans="1:6" ht="20.399999999999999" customHeight="1">
      <c r="A16" s="20" t="s">
        <v>53</v>
      </c>
      <c r="B16" s="21" t="s">
        <v>1148</v>
      </c>
      <c r="C16" s="21" t="s">
        <v>1149</v>
      </c>
      <c r="D16" s="21" t="s">
        <v>1150</v>
      </c>
      <c r="E16" s="21" t="s">
        <v>1151</v>
      </c>
      <c r="F16" s="22">
        <v>1</v>
      </c>
    </row>
    <row r="17" spans="1:6" ht="20.399999999999999" customHeight="1">
      <c r="A17" s="23" t="s">
        <v>34</v>
      </c>
      <c r="B17" s="19" t="s">
        <v>1152</v>
      </c>
      <c r="C17" s="19" t="s">
        <v>1153</v>
      </c>
      <c r="D17" s="19" t="s">
        <v>1154</v>
      </c>
      <c r="E17" s="19" t="s">
        <v>1155</v>
      </c>
      <c r="F17" s="24">
        <v>0.5</v>
      </c>
    </row>
    <row r="18" spans="1:6" ht="20.399999999999999" customHeight="1">
      <c r="A18" s="25" t="s">
        <v>33</v>
      </c>
      <c r="B18" s="26" t="s">
        <v>1156</v>
      </c>
      <c r="C18" s="26" t="s">
        <v>1157</v>
      </c>
      <c r="D18" s="26" t="s">
        <v>1158</v>
      </c>
      <c r="E18" s="26" t="s">
        <v>1159</v>
      </c>
      <c r="F18" s="27">
        <v>0</v>
      </c>
    </row>
    <row r="20" spans="1:6">
      <c r="A20" s="42" t="s">
        <v>1160</v>
      </c>
      <c r="B20" s="40"/>
      <c r="C20" s="40"/>
      <c r="D20" s="40"/>
      <c r="E20" s="40"/>
      <c r="F20" s="40"/>
    </row>
    <row r="21" spans="1:6">
      <c r="A21" s="1" t="s">
        <v>1161</v>
      </c>
      <c r="B21" s="2" t="s">
        <v>53</v>
      </c>
      <c r="C21" s="2" t="s">
        <v>34</v>
      </c>
      <c r="D21" s="2" t="s">
        <v>33</v>
      </c>
      <c r="E21" s="2" t="s">
        <v>1162</v>
      </c>
      <c r="F21" s="3" t="s">
        <v>1163</v>
      </c>
    </row>
    <row r="22" spans="1:6" ht="22.05" customHeight="1">
      <c r="A22" s="20" t="s">
        <v>17</v>
      </c>
      <c r="B22" s="21" t="s">
        <v>1164</v>
      </c>
      <c r="C22" s="21" t="s">
        <v>1165</v>
      </c>
      <c r="D22" s="21" t="s">
        <v>1166</v>
      </c>
      <c r="E22" s="21" t="s">
        <v>1167</v>
      </c>
      <c r="F22" s="22" t="s">
        <v>1168</v>
      </c>
    </row>
    <row r="23" spans="1:6" ht="22.05" customHeight="1">
      <c r="A23" s="23" t="s">
        <v>18</v>
      </c>
      <c r="B23" s="19" t="s">
        <v>1169</v>
      </c>
      <c r="C23" s="19" t="s">
        <v>1170</v>
      </c>
      <c r="D23" s="19" t="s">
        <v>1171</v>
      </c>
      <c r="E23" s="19" t="s">
        <v>1172</v>
      </c>
      <c r="F23" s="24" t="s">
        <v>1173</v>
      </c>
    </row>
    <row r="24" spans="1:6" ht="22.05" customHeight="1">
      <c r="A24" s="23" t="s">
        <v>19</v>
      </c>
      <c r="B24" s="19" t="s">
        <v>1174</v>
      </c>
      <c r="C24" s="19" t="s">
        <v>1175</v>
      </c>
      <c r="D24" s="19" t="s">
        <v>1176</v>
      </c>
      <c r="E24" s="19" t="s">
        <v>1177</v>
      </c>
      <c r="F24" s="24" t="s">
        <v>1178</v>
      </c>
    </row>
    <row r="25" spans="1:6" ht="22.05" customHeight="1">
      <c r="A25" s="23" t="s">
        <v>20</v>
      </c>
      <c r="B25" s="19" t="s">
        <v>1179</v>
      </c>
      <c r="C25" s="19" t="s">
        <v>1180</v>
      </c>
      <c r="D25" s="19" t="s">
        <v>1181</v>
      </c>
      <c r="E25" s="19" t="s">
        <v>1182</v>
      </c>
      <c r="F25" s="24" t="s">
        <v>1183</v>
      </c>
    </row>
    <row r="26" spans="1:6" ht="22.05" customHeight="1">
      <c r="A26" s="25" t="s">
        <v>21</v>
      </c>
      <c r="B26" s="26" t="s">
        <v>1184</v>
      </c>
      <c r="C26" s="26" t="s">
        <v>1185</v>
      </c>
      <c r="D26" s="26" t="s">
        <v>1186</v>
      </c>
      <c r="E26" s="26" t="s">
        <v>1187</v>
      </c>
      <c r="F26" s="27" t="s">
        <v>1188</v>
      </c>
    </row>
    <row r="28" spans="1:6">
      <c r="A28" s="42" t="s">
        <v>1189</v>
      </c>
      <c r="B28" s="40"/>
      <c r="C28" s="40"/>
      <c r="D28" s="40"/>
      <c r="E28" s="40"/>
      <c r="F28" s="40"/>
    </row>
    <row r="29" spans="1:6">
      <c r="A29" s="1" t="s">
        <v>1190</v>
      </c>
      <c r="B29" s="2" t="s">
        <v>1191</v>
      </c>
      <c r="C29" s="2" t="s">
        <v>1192</v>
      </c>
      <c r="D29" s="2" t="s">
        <v>1193</v>
      </c>
      <c r="E29" s="2" t="s">
        <v>1106</v>
      </c>
      <c r="F29" s="3" t="s">
        <v>1194</v>
      </c>
    </row>
    <row r="30" spans="1:6" ht="20.399999999999999" customHeight="1">
      <c r="A30" s="20" t="s">
        <v>15</v>
      </c>
      <c r="B30" s="21" t="s">
        <v>86</v>
      </c>
      <c r="C30" s="21" t="s">
        <v>1195</v>
      </c>
      <c r="D30" s="21" t="s">
        <v>1196</v>
      </c>
      <c r="E30" s="21" t="s">
        <v>1197</v>
      </c>
      <c r="F30" s="22" t="s">
        <v>86</v>
      </c>
    </row>
    <row r="31" spans="1:6" ht="20.399999999999999" customHeight="1">
      <c r="A31" s="23" t="s">
        <v>15</v>
      </c>
      <c r="B31" s="19" t="s">
        <v>33</v>
      </c>
      <c r="C31" s="19" t="s">
        <v>1198</v>
      </c>
      <c r="D31" s="19" t="s">
        <v>1199</v>
      </c>
      <c r="E31" s="19" t="s">
        <v>1200</v>
      </c>
      <c r="F31" s="24" t="s">
        <v>33</v>
      </c>
    </row>
    <row r="32" spans="1:6" ht="20.399999999999999" customHeight="1">
      <c r="A32" s="23" t="s">
        <v>15</v>
      </c>
      <c r="B32" s="19" t="s">
        <v>314</v>
      </c>
      <c r="C32" s="19" t="s">
        <v>1201</v>
      </c>
      <c r="D32" s="19" t="s">
        <v>1202</v>
      </c>
      <c r="E32" s="19" t="s">
        <v>1203</v>
      </c>
      <c r="F32" s="24" t="s">
        <v>314</v>
      </c>
    </row>
    <row r="33" spans="1:6" ht="20.399999999999999" customHeight="1">
      <c r="A33" s="23" t="s">
        <v>15</v>
      </c>
      <c r="B33" s="19" t="s">
        <v>1204</v>
      </c>
      <c r="C33" s="19" t="s">
        <v>1205</v>
      </c>
      <c r="D33" s="19" t="s">
        <v>1206</v>
      </c>
      <c r="E33" s="19" t="s">
        <v>1207</v>
      </c>
      <c r="F33" s="24" t="s">
        <v>1204</v>
      </c>
    </row>
    <row r="34" spans="1:6" ht="20.399999999999999" customHeight="1">
      <c r="A34" s="23" t="s">
        <v>16</v>
      </c>
      <c r="B34" s="19" t="s">
        <v>86</v>
      </c>
      <c r="C34" s="19" t="s">
        <v>1208</v>
      </c>
      <c r="D34" s="19" t="s">
        <v>1209</v>
      </c>
      <c r="E34" s="19" t="s">
        <v>1210</v>
      </c>
      <c r="F34" s="24" t="s">
        <v>86</v>
      </c>
    </row>
    <row r="35" spans="1:6" ht="20.399999999999999" customHeight="1">
      <c r="A35" s="23" t="s">
        <v>16</v>
      </c>
      <c r="B35" s="19" t="s">
        <v>33</v>
      </c>
      <c r="C35" s="19" t="s">
        <v>1211</v>
      </c>
      <c r="D35" s="19" t="s">
        <v>1212</v>
      </c>
      <c r="E35" s="19" t="s">
        <v>1213</v>
      </c>
      <c r="F35" s="24" t="s">
        <v>33</v>
      </c>
    </row>
    <row r="36" spans="1:6" ht="20.399999999999999" customHeight="1">
      <c r="A36" s="23" t="s">
        <v>16</v>
      </c>
      <c r="B36" s="19" t="s">
        <v>198</v>
      </c>
      <c r="C36" s="19" t="s">
        <v>1214</v>
      </c>
      <c r="D36" s="19" t="s">
        <v>1215</v>
      </c>
      <c r="E36" s="19" t="s">
        <v>1216</v>
      </c>
      <c r="F36" s="24" t="s">
        <v>198</v>
      </c>
    </row>
    <row r="37" spans="1:6" ht="20.399999999999999" customHeight="1">
      <c r="A37" s="25" t="s">
        <v>16</v>
      </c>
      <c r="B37" s="26" t="s">
        <v>1204</v>
      </c>
      <c r="C37" s="26" t="s">
        <v>1217</v>
      </c>
      <c r="D37" s="26" t="s">
        <v>1218</v>
      </c>
      <c r="E37" s="26" t="s">
        <v>1219</v>
      </c>
      <c r="F37" s="27" t="s">
        <v>1204</v>
      </c>
    </row>
    <row r="39" spans="1:6">
      <c r="A39" s="42" t="s">
        <v>1220</v>
      </c>
      <c r="B39" s="40"/>
      <c r="C39" s="40"/>
      <c r="D39" s="40"/>
      <c r="E39" s="40"/>
      <c r="F39" s="40"/>
    </row>
    <row r="40" spans="1:6">
      <c r="A40" s="1" t="s">
        <v>1221</v>
      </c>
      <c r="B40" s="2" t="s">
        <v>1222</v>
      </c>
      <c r="C40" s="2" t="s">
        <v>1223</v>
      </c>
      <c r="D40" s="2" t="s">
        <v>1224</v>
      </c>
      <c r="E40" s="2" t="s">
        <v>1225</v>
      </c>
      <c r="F40" s="3" t="s">
        <v>1226</v>
      </c>
    </row>
    <row r="41" spans="1:6" ht="21.15" customHeight="1">
      <c r="A41" s="20" t="s">
        <v>1227</v>
      </c>
      <c r="B41" s="21" t="s">
        <v>72</v>
      </c>
      <c r="C41" s="21" t="s">
        <v>182</v>
      </c>
      <c r="D41" s="21" t="s">
        <v>76</v>
      </c>
      <c r="E41" s="21" t="s">
        <v>1228</v>
      </c>
      <c r="F41" s="22" t="s">
        <v>1229</v>
      </c>
    </row>
    <row r="42" spans="1:6" ht="21.15" customHeight="1">
      <c r="A42" s="23" t="s">
        <v>1230</v>
      </c>
      <c r="B42" s="19" t="s">
        <v>182</v>
      </c>
      <c r="C42" s="19" t="s">
        <v>72</v>
      </c>
      <c r="D42" s="19" t="s">
        <v>76</v>
      </c>
      <c r="E42" s="19" t="s">
        <v>1231</v>
      </c>
      <c r="F42" s="24" t="s">
        <v>1232</v>
      </c>
    </row>
    <row r="43" spans="1:6" ht="21.15" customHeight="1">
      <c r="A43" s="23" t="s">
        <v>1233</v>
      </c>
      <c r="B43" s="19" t="s">
        <v>237</v>
      </c>
      <c r="C43" s="19" t="s">
        <v>72</v>
      </c>
      <c r="D43" s="19" t="s">
        <v>1234</v>
      </c>
      <c r="E43" s="19" t="s">
        <v>1235</v>
      </c>
      <c r="F43" s="24" t="s">
        <v>1236</v>
      </c>
    </row>
    <row r="44" spans="1:6" ht="21.15" customHeight="1">
      <c r="A44" s="23" t="s">
        <v>1237</v>
      </c>
      <c r="B44" s="19" t="s">
        <v>72</v>
      </c>
      <c r="C44" s="19" t="s">
        <v>237</v>
      </c>
      <c r="D44" s="19" t="s">
        <v>76</v>
      </c>
      <c r="E44" s="19" t="s">
        <v>1238</v>
      </c>
      <c r="F44" s="24" t="s">
        <v>1239</v>
      </c>
    </row>
    <row r="45" spans="1:6" ht="21.15" customHeight="1">
      <c r="A45" s="23" t="s">
        <v>1240</v>
      </c>
      <c r="B45" s="19" t="s">
        <v>325</v>
      </c>
      <c r="C45" s="19" t="s">
        <v>252</v>
      </c>
      <c r="D45" s="19" t="s">
        <v>120</v>
      </c>
      <c r="E45" s="19" t="s">
        <v>1241</v>
      </c>
      <c r="F45" s="24" t="s">
        <v>1242</v>
      </c>
    </row>
    <row r="46" spans="1:6" ht="21.15" customHeight="1">
      <c r="A46" s="23" t="s">
        <v>1243</v>
      </c>
      <c r="B46" s="19" t="s">
        <v>252</v>
      </c>
      <c r="C46" s="19" t="s">
        <v>237</v>
      </c>
      <c r="D46" s="19" t="s">
        <v>1234</v>
      </c>
      <c r="E46" s="19" t="s">
        <v>1244</v>
      </c>
      <c r="F46" s="24" t="s">
        <v>1245</v>
      </c>
    </row>
    <row r="47" spans="1:6" ht="21.15" customHeight="1">
      <c r="A47" s="23" t="s">
        <v>1246</v>
      </c>
      <c r="B47" s="19" t="s">
        <v>472</v>
      </c>
      <c r="C47" s="19" t="s">
        <v>182</v>
      </c>
      <c r="D47" s="19" t="s">
        <v>1247</v>
      </c>
      <c r="E47" s="19" t="s">
        <v>1248</v>
      </c>
      <c r="F47" s="24" t="s">
        <v>1249</v>
      </c>
    </row>
    <row r="48" spans="1:6" ht="21.15" customHeight="1">
      <c r="A48" s="25" t="s">
        <v>1250</v>
      </c>
      <c r="B48" s="26" t="s">
        <v>1251</v>
      </c>
      <c r="C48" s="26" t="s">
        <v>1252</v>
      </c>
      <c r="D48" s="26" t="s">
        <v>120</v>
      </c>
      <c r="E48" s="26" t="s">
        <v>1253</v>
      </c>
      <c r="F48" s="27" t="s">
        <v>1254</v>
      </c>
    </row>
    <row r="50" spans="1:6">
      <c r="A50" s="42" t="s">
        <v>1255</v>
      </c>
      <c r="B50" s="40"/>
      <c r="C50" s="40"/>
      <c r="D50" s="40"/>
      <c r="E50" s="40"/>
      <c r="F50" s="40"/>
    </row>
    <row r="51" spans="1:6">
      <c r="A51" s="1" t="s">
        <v>940</v>
      </c>
      <c r="B51" s="2" t="s">
        <v>1256</v>
      </c>
      <c r="C51" s="2" t="s">
        <v>1257</v>
      </c>
      <c r="D51" s="2" t="s">
        <v>1258</v>
      </c>
      <c r="E51" s="2" t="s">
        <v>1259</v>
      </c>
      <c r="F51" s="3" t="s">
        <v>1106</v>
      </c>
    </row>
    <row r="52" spans="1:6" ht="18" customHeight="1">
      <c r="A52" s="20" t="s">
        <v>350</v>
      </c>
      <c r="B52" s="21" t="s">
        <v>1260</v>
      </c>
      <c r="C52" s="21" t="s">
        <v>86</v>
      </c>
      <c r="D52" s="21" t="s">
        <v>86</v>
      </c>
      <c r="E52" s="21" t="s">
        <v>1261</v>
      </c>
      <c r="F52" s="22" t="s">
        <v>1262</v>
      </c>
    </row>
    <row r="53" spans="1:6" ht="18" customHeight="1">
      <c r="A53" s="23" t="s">
        <v>395</v>
      </c>
      <c r="B53" s="19" t="s">
        <v>1263</v>
      </c>
      <c r="C53" s="19" t="s">
        <v>86</v>
      </c>
      <c r="D53" s="19" t="s">
        <v>1264</v>
      </c>
      <c r="E53" s="19" t="s">
        <v>1265</v>
      </c>
      <c r="F53" s="24" t="s">
        <v>1266</v>
      </c>
    </row>
    <row r="54" spans="1:6" ht="18" customHeight="1">
      <c r="A54" s="23" t="s">
        <v>1267</v>
      </c>
      <c r="B54" s="19" t="s">
        <v>1268</v>
      </c>
      <c r="C54" s="19" t="s">
        <v>86</v>
      </c>
      <c r="D54" s="19" t="s">
        <v>86</v>
      </c>
      <c r="E54" s="19" t="s">
        <v>1269</v>
      </c>
      <c r="F54" s="24" t="s">
        <v>1270</v>
      </c>
    </row>
    <row r="55" spans="1:6" ht="18" customHeight="1">
      <c r="A55" s="23" t="s">
        <v>542</v>
      </c>
      <c r="B55" s="19" t="s">
        <v>1271</v>
      </c>
      <c r="C55" s="19" t="s">
        <v>1272</v>
      </c>
      <c r="D55" s="19" t="s">
        <v>33</v>
      </c>
      <c r="E55" s="19" t="s">
        <v>1273</v>
      </c>
      <c r="F55" s="24" t="s">
        <v>1274</v>
      </c>
    </row>
    <row r="56" spans="1:6" ht="18" customHeight="1">
      <c r="A56" s="23" t="s">
        <v>702</v>
      </c>
      <c r="B56" s="19" t="s">
        <v>1275</v>
      </c>
      <c r="C56" s="19" t="s">
        <v>1272</v>
      </c>
      <c r="D56" s="19" t="s">
        <v>33</v>
      </c>
      <c r="E56" s="19" t="s">
        <v>1276</v>
      </c>
      <c r="F56" s="24" t="s">
        <v>1277</v>
      </c>
    </row>
    <row r="57" spans="1:6" ht="18" customHeight="1">
      <c r="A57" s="23" t="s">
        <v>521</v>
      </c>
      <c r="B57" s="19" t="s">
        <v>1278</v>
      </c>
      <c r="C57" s="19" t="s">
        <v>1279</v>
      </c>
      <c r="D57" s="19" t="s">
        <v>33</v>
      </c>
      <c r="E57" s="19" t="s">
        <v>1280</v>
      </c>
      <c r="F57" s="24" t="s">
        <v>1281</v>
      </c>
    </row>
    <row r="58" spans="1:6" ht="18" customHeight="1">
      <c r="A58" s="23" t="s">
        <v>1282</v>
      </c>
      <c r="B58" s="19" t="s">
        <v>1283</v>
      </c>
      <c r="C58" s="19" t="s">
        <v>86</v>
      </c>
      <c r="D58" s="19" t="s">
        <v>86</v>
      </c>
      <c r="E58" s="19" t="s">
        <v>1284</v>
      </c>
      <c r="F58" s="24" t="s">
        <v>1285</v>
      </c>
    </row>
    <row r="59" spans="1:6" ht="18" customHeight="1">
      <c r="A59" s="25" t="s">
        <v>1286</v>
      </c>
      <c r="B59" s="26" t="s">
        <v>1287</v>
      </c>
      <c r="C59" s="26" t="s">
        <v>294</v>
      </c>
      <c r="D59" s="26" t="s">
        <v>294</v>
      </c>
      <c r="E59" s="26" t="s">
        <v>1288</v>
      </c>
      <c r="F59" s="27" t="s">
        <v>1289</v>
      </c>
    </row>
  </sheetData>
  <mergeCells count="8">
    <mergeCell ref="A2:F2"/>
    <mergeCell ref="A28:F28"/>
    <mergeCell ref="A14:F14"/>
    <mergeCell ref="A1:F1"/>
    <mergeCell ref="A50:F50"/>
    <mergeCell ref="A4:F4"/>
    <mergeCell ref="A20:F20"/>
    <mergeCell ref="A39:F39"/>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9"/>
  <sheetViews>
    <sheetView workbookViewId="0"/>
  </sheetViews>
  <sheetFormatPr defaultColWidth="18.59765625" defaultRowHeight="13.8"/>
  <cols>
    <col min="1" max="1" width="17.8984375" customWidth="1"/>
  </cols>
  <sheetData>
    <row r="1" spans="1:11" ht="12.6" customHeight="1">
      <c r="A1" s="44" t="s">
        <v>1290</v>
      </c>
      <c r="B1" s="40"/>
      <c r="C1" s="40"/>
      <c r="D1" s="40"/>
      <c r="E1" s="40"/>
      <c r="F1" s="40"/>
      <c r="G1" s="40"/>
      <c r="H1" s="40"/>
      <c r="I1" s="40"/>
      <c r="J1" s="40"/>
      <c r="K1" s="40"/>
    </row>
    <row r="2" spans="1:11" ht="12.6" customHeight="1">
      <c r="A2" s="47" t="s">
        <v>1291</v>
      </c>
      <c r="B2" s="40"/>
      <c r="C2" s="40"/>
      <c r="D2" s="40"/>
      <c r="E2" s="40"/>
      <c r="F2" s="40"/>
      <c r="G2" s="40"/>
      <c r="H2" s="40"/>
      <c r="I2" s="40"/>
      <c r="J2" s="40"/>
      <c r="K2" s="40"/>
    </row>
    <row r="3" spans="1:11" ht="12.6" customHeight="1">
      <c r="A3" s="10"/>
      <c r="B3" s="10"/>
      <c r="C3" s="10"/>
      <c r="D3" s="10"/>
      <c r="E3" s="10"/>
      <c r="F3" s="10"/>
      <c r="G3" s="10"/>
      <c r="H3" s="10"/>
      <c r="I3" s="10"/>
      <c r="J3" s="10"/>
      <c r="K3" s="10"/>
    </row>
    <row r="4" spans="1:11" ht="12.6" customHeight="1">
      <c r="A4" s="45" t="s">
        <v>1292</v>
      </c>
      <c r="B4" s="40"/>
      <c r="C4" s="15"/>
      <c r="D4" s="45" t="s">
        <v>1293</v>
      </c>
      <c r="E4" s="40"/>
      <c r="F4" s="15"/>
      <c r="G4" s="45" t="s">
        <v>1294</v>
      </c>
      <c r="H4" s="40"/>
      <c r="I4" s="15" t="s">
        <v>1295</v>
      </c>
      <c r="J4" s="45"/>
      <c r="K4" s="40"/>
    </row>
    <row r="5" spans="1:11" ht="12.6" customHeight="1">
      <c r="A5" s="10"/>
      <c r="B5" s="10"/>
      <c r="C5" s="10"/>
      <c r="D5" s="10"/>
      <c r="E5" s="10"/>
      <c r="F5" s="10"/>
      <c r="G5" s="10"/>
      <c r="H5" s="10"/>
      <c r="I5" s="10"/>
      <c r="J5" s="10"/>
      <c r="K5" s="10"/>
    </row>
    <row r="6" spans="1:11" ht="12.6" customHeight="1">
      <c r="A6" s="46" t="s">
        <v>1296</v>
      </c>
      <c r="B6" s="40"/>
      <c r="C6" s="40"/>
      <c r="D6" s="40"/>
      <c r="E6" s="40"/>
      <c r="F6" s="40"/>
      <c r="G6" s="40"/>
      <c r="H6" s="40"/>
      <c r="I6" s="40"/>
      <c r="J6" s="40"/>
      <c r="K6" s="40"/>
    </row>
    <row r="7" spans="1:11" ht="12.6" customHeight="1">
      <c r="A7" s="10"/>
      <c r="B7" s="10"/>
      <c r="C7" s="10"/>
      <c r="D7" s="10"/>
      <c r="E7" s="10"/>
      <c r="F7" s="10"/>
      <c r="G7" s="10"/>
      <c r="H7" s="10"/>
      <c r="I7" s="10"/>
      <c r="J7" s="10"/>
      <c r="K7" s="10"/>
    </row>
    <row r="8" spans="1:11" ht="19.2" customHeight="1">
      <c r="A8" s="11" t="s">
        <v>1297</v>
      </c>
      <c r="B8" s="11" t="s">
        <v>1298</v>
      </c>
      <c r="C8" s="11" t="s">
        <v>3</v>
      </c>
      <c r="D8" s="11" t="s">
        <v>1299</v>
      </c>
      <c r="E8" s="11" t="s">
        <v>1300</v>
      </c>
      <c r="F8" s="11" t="s">
        <v>1301</v>
      </c>
      <c r="G8" s="11" t="s">
        <v>1302</v>
      </c>
      <c r="H8" s="11" t="s">
        <v>1303</v>
      </c>
      <c r="I8" s="11" t="s">
        <v>1304</v>
      </c>
      <c r="J8" s="11" t="s">
        <v>1305</v>
      </c>
      <c r="K8" s="11" t="s">
        <v>1306</v>
      </c>
    </row>
    <row r="9" spans="1:11" ht="19.2" customHeight="1">
      <c r="A9" s="10">
        <v>1</v>
      </c>
      <c r="B9" s="10">
        <v>4</v>
      </c>
      <c r="C9" s="10" t="s">
        <v>25</v>
      </c>
      <c r="D9" s="10" t="s">
        <v>27</v>
      </c>
      <c r="E9" s="10" t="s">
        <v>27</v>
      </c>
      <c r="F9" s="10" t="s">
        <v>1307</v>
      </c>
      <c r="G9" s="10" t="s">
        <v>27</v>
      </c>
      <c r="H9" s="10" t="s">
        <v>66</v>
      </c>
      <c r="I9" s="10" t="s">
        <v>66</v>
      </c>
      <c r="J9" s="10" t="s">
        <v>1307</v>
      </c>
      <c r="K9" s="10" t="s">
        <v>66</v>
      </c>
    </row>
    <row r="10" spans="1:11" ht="19.2" customHeight="1">
      <c r="A10" s="10">
        <v>2</v>
      </c>
      <c r="B10" s="10">
        <v>5</v>
      </c>
      <c r="C10" s="10" t="s">
        <v>36</v>
      </c>
      <c r="D10" s="10" t="s">
        <v>27</v>
      </c>
      <c r="E10" s="10" t="s">
        <v>27</v>
      </c>
      <c r="F10" s="10" t="s">
        <v>1307</v>
      </c>
      <c r="G10" s="10" t="s">
        <v>27</v>
      </c>
      <c r="H10" s="10" t="s">
        <v>46</v>
      </c>
      <c r="I10" s="10" t="s">
        <v>46</v>
      </c>
      <c r="J10" s="10" t="s">
        <v>1307</v>
      </c>
      <c r="K10" s="10" t="s">
        <v>46</v>
      </c>
    </row>
    <row r="11" spans="1:11" ht="19.2" customHeight="1">
      <c r="A11" s="10">
        <v>3</v>
      </c>
      <c r="B11" s="10">
        <v>6</v>
      </c>
      <c r="C11" s="10" t="s">
        <v>42</v>
      </c>
      <c r="D11" s="10" t="s">
        <v>27</v>
      </c>
      <c r="E11" s="10" t="s">
        <v>27</v>
      </c>
      <c r="F11" s="10" t="s">
        <v>1307</v>
      </c>
      <c r="G11" s="10" t="s">
        <v>27</v>
      </c>
      <c r="H11" s="10" t="s">
        <v>44</v>
      </c>
      <c r="I11" s="10" t="s">
        <v>45</v>
      </c>
      <c r="J11" s="10" t="s">
        <v>1308</v>
      </c>
      <c r="K11" s="10" t="s">
        <v>46</v>
      </c>
    </row>
    <row r="12" spans="1:11" ht="19.2" customHeight="1">
      <c r="A12" s="10">
        <v>4</v>
      </c>
      <c r="B12" s="10">
        <v>7</v>
      </c>
      <c r="C12" s="10" t="s">
        <v>50</v>
      </c>
      <c r="D12" s="10" t="s">
        <v>27</v>
      </c>
      <c r="E12" s="10" t="s">
        <v>27</v>
      </c>
      <c r="F12" s="10" t="s">
        <v>1307</v>
      </c>
      <c r="G12" s="10" t="s">
        <v>27</v>
      </c>
      <c r="H12" s="10" t="s">
        <v>51</v>
      </c>
      <c r="I12" s="10" t="s">
        <v>51</v>
      </c>
      <c r="J12" s="10" t="s">
        <v>1307</v>
      </c>
      <c r="K12" s="10" t="s">
        <v>51</v>
      </c>
    </row>
    <row r="13" spans="1:11" ht="19.2" customHeight="1">
      <c r="A13" s="10">
        <v>5</v>
      </c>
      <c r="B13" s="10">
        <v>8</v>
      </c>
      <c r="C13" s="10" t="s">
        <v>55</v>
      </c>
      <c r="D13" s="10" t="s">
        <v>27</v>
      </c>
      <c r="E13" s="10" t="s">
        <v>27</v>
      </c>
      <c r="F13" s="10" t="s">
        <v>1307</v>
      </c>
      <c r="G13" s="10" t="s">
        <v>27</v>
      </c>
      <c r="H13" s="10" t="s">
        <v>66</v>
      </c>
      <c r="I13" s="10" t="s">
        <v>66</v>
      </c>
      <c r="J13" s="10" t="s">
        <v>1307</v>
      </c>
      <c r="K13" s="10" t="s">
        <v>66</v>
      </c>
    </row>
    <row r="14" spans="1:11" ht="19.2" customHeight="1">
      <c r="A14" s="10">
        <v>6</v>
      </c>
      <c r="B14" s="10">
        <v>9</v>
      </c>
      <c r="C14" s="10" t="s">
        <v>59</v>
      </c>
      <c r="D14" s="10" t="s">
        <v>27</v>
      </c>
      <c r="E14" s="10" t="s">
        <v>27</v>
      </c>
      <c r="F14" s="10" t="s">
        <v>1307</v>
      </c>
      <c r="G14" s="10" t="s">
        <v>27</v>
      </c>
      <c r="H14" s="10" t="s">
        <v>46</v>
      </c>
      <c r="I14" s="10" t="s">
        <v>46</v>
      </c>
      <c r="J14" s="10" t="s">
        <v>1307</v>
      </c>
      <c r="K14" s="10" t="s">
        <v>46</v>
      </c>
    </row>
    <row r="15" spans="1:11" ht="19.2" customHeight="1">
      <c r="A15" s="10">
        <v>7</v>
      </c>
      <c r="B15" s="10">
        <v>10</v>
      </c>
      <c r="C15" s="10" t="s">
        <v>64</v>
      </c>
      <c r="D15" s="10" t="s">
        <v>27</v>
      </c>
      <c r="E15" s="10" t="s">
        <v>27</v>
      </c>
      <c r="F15" s="10" t="s">
        <v>1307</v>
      </c>
      <c r="G15" s="10" t="s">
        <v>27</v>
      </c>
      <c r="H15" s="10" t="s">
        <v>66</v>
      </c>
      <c r="I15" s="10" t="s">
        <v>66</v>
      </c>
      <c r="J15" s="10" t="s">
        <v>1307</v>
      </c>
      <c r="K15" s="10" t="s">
        <v>66</v>
      </c>
    </row>
    <row r="16" spans="1:11" ht="19.2" customHeight="1">
      <c r="A16" s="10">
        <v>8</v>
      </c>
      <c r="B16" s="10">
        <v>11</v>
      </c>
      <c r="C16" s="10" t="s">
        <v>70</v>
      </c>
      <c r="D16" s="10" t="s">
        <v>71</v>
      </c>
      <c r="E16" s="10" t="s">
        <v>71</v>
      </c>
      <c r="F16" s="10" t="s">
        <v>1307</v>
      </c>
      <c r="G16" s="10" t="s">
        <v>71</v>
      </c>
      <c r="H16" s="10" t="s">
        <v>307</v>
      </c>
      <c r="I16" s="10" t="s">
        <v>307</v>
      </c>
      <c r="J16" s="10" t="s">
        <v>1307</v>
      </c>
      <c r="K16" s="10" t="s">
        <v>307</v>
      </c>
    </row>
    <row r="17" spans="1:11" ht="19.2" customHeight="1">
      <c r="A17" s="10">
        <v>9</v>
      </c>
      <c r="B17" s="10">
        <v>12</v>
      </c>
      <c r="C17" s="10" t="s">
        <v>78</v>
      </c>
      <c r="D17" s="10" t="s">
        <v>27</v>
      </c>
      <c r="E17" s="10" t="s">
        <v>27</v>
      </c>
      <c r="F17" s="10" t="s">
        <v>1307</v>
      </c>
      <c r="G17" s="10" t="s">
        <v>27</v>
      </c>
      <c r="H17" s="10" t="s">
        <v>66</v>
      </c>
      <c r="I17" s="10" t="s">
        <v>66</v>
      </c>
      <c r="J17" s="10" t="s">
        <v>1307</v>
      </c>
      <c r="K17" s="10" t="s">
        <v>66</v>
      </c>
    </row>
    <row r="18" spans="1:11" ht="19.2" customHeight="1">
      <c r="A18" s="10">
        <v>10</v>
      </c>
      <c r="B18" s="10">
        <v>13</v>
      </c>
      <c r="C18" s="10" t="s">
        <v>82</v>
      </c>
      <c r="D18" s="10" t="s">
        <v>27</v>
      </c>
      <c r="E18" s="10" t="s">
        <v>27</v>
      </c>
      <c r="F18" s="10" t="s">
        <v>1307</v>
      </c>
      <c r="G18" s="10" t="s">
        <v>27</v>
      </c>
      <c r="H18" s="10" t="s">
        <v>45</v>
      </c>
      <c r="I18" s="10" t="s">
        <v>44</v>
      </c>
      <c r="J18" s="10" t="s">
        <v>1308</v>
      </c>
      <c r="K18" s="10" t="s">
        <v>46</v>
      </c>
    </row>
    <row r="19" spans="1:11" ht="19.2" customHeight="1">
      <c r="A19" s="10">
        <v>11</v>
      </c>
      <c r="B19" s="10">
        <v>14</v>
      </c>
      <c r="C19" s="10" t="s">
        <v>88</v>
      </c>
      <c r="D19" s="10" t="s">
        <v>27</v>
      </c>
      <c r="E19" s="10" t="s">
        <v>27</v>
      </c>
      <c r="F19" s="10" t="s">
        <v>1307</v>
      </c>
      <c r="G19" s="10" t="s">
        <v>27</v>
      </c>
      <c r="H19" s="10" t="s">
        <v>46</v>
      </c>
      <c r="I19" s="10" t="s">
        <v>46</v>
      </c>
      <c r="J19" s="10" t="s">
        <v>1307</v>
      </c>
      <c r="K19" s="10" t="s">
        <v>46</v>
      </c>
    </row>
    <row r="20" spans="1:11" ht="19.2" customHeight="1">
      <c r="A20" s="10">
        <v>12</v>
      </c>
      <c r="B20" s="10">
        <v>15</v>
      </c>
      <c r="C20" s="10" t="s">
        <v>91</v>
      </c>
      <c r="D20" s="10" t="s">
        <v>27</v>
      </c>
      <c r="E20" s="10" t="s">
        <v>27</v>
      </c>
      <c r="F20" s="10" t="s">
        <v>1307</v>
      </c>
      <c r="G20" s="10" t="s">
        <v>27</v>
      </c>
      <c r="H20" s="10" t="s">
        <v>46</v>
      </c>
      <c r="I20" s="10" t="s">
        <v>46</v>
      </c>
      <c r="J20" s="10" t="s">
        <v>1307</v>
      </c>
      <c r="K20" s="10" t="s">
        <v>46</v>
      </c>
    </row>
    <row r="21" spans="1:11" ht="19.2" customHeight="1">
      <c r="A21" s="10">
        <v>13</v>
      </c>
      <c r="B21" s="10">
        <v>16</v>
      </c>
      <c r="C21" s="10" t="s">
        <v>93</v>
      </c>
      <c r="D21" s="10" t="s">
        <v>27</v>
      </c>
      <c r="E21" s="10" t="s">
        <v>27</v>
      </c>
      <c r="F21" s="10" t="s">
        <v>1307</v>
      </c>
      <c r="G21" s="10" t="s">
        <v>27</v>
      </c>
      <c r="H21" s="10" t="s">
        <v>46</v>
      </c>
      <c r="I21" s="10" t="s">
        <v>46</v>
      </c>
      <c r="J21" s="10" t="s">
        <v>1307</v>
      </c>
      <c r="K21" s="10" t="s">
        <v>46</v>
      </c>
    </row>
    <row r="22" spans="1:11" ht="19.2" customHeight="1">
      <c r="A22" s="10">
        <v>14</v>
      </c>
      <c r="B22" s="10">
        <v>17</v>
      </c>
      <c r="C22" s="10" t="s">
        <v>98</v>
      </c>
      <c r="D22" s="10" t="s">
        <v>27</v>
      </c>
      <c r="E22" s="10" t="s">
        <v>27</v>
      </c>
      <c r="F22" s="10" t="s">
        <v>1307</v>
      </c>
      <c r="G22" s="10" t="s">
        <v>27</v>
      </c>
      <c r="H22" s="10" t="s">
        <v>46</v>
      </c>
      <c r="I22" s="10" t="s">
        <v>46</v>
      </c>
      <c r="J22" s="10" t="s">
        <v>1307</v>
      </c>
      <c r="K22" s="10" t="s">
        <v>46</v>
      </c>
    </row>
    <row r="23" spans="1:11" ht="19.2" customHeight="1">
      <c r="A23" s="10">
        <v>15</v>
      </c>
      <c r="B23" s="10">
        <v>18</v>
      </c>
      <c r="C23" s="10" t="s">
        <v>102</v>
      </c>
      <c r="D23" s="10" t="s">
        <v>27</v>
      </c>
      <c r="E23" s="10" t="s">
        <v>27</v>
      </c>
      <c r="F23" s="10" t="s">
        <v>1307</v>
      </c>
      <c r="G23" s="10" t="s">
        <v>27</v>
      </c>
      <c r="H23" s="10" t="s">
        <v>103</v>
      </c>
      <c r="I23" s="10" t="s">
        <v>103</v>
      </c>
      <c r="J23" s="10" t="s">
        <v>1307</v>
      </c>
      <c r="K23" s="10" t="s">
        <v>103</v>
      </c>
    </row>
    <row r="24" spans="1:11" ht="19.2" customHeight="1">
      <c r="A24" s="10">
        <v>16</v>
      </c>
      <c r="B24" s="10">
        <v>19</v>
      </c>
      <c r="C24" s="10" t="s">
        <v>106</v>
      </c>
      <c r="D24" s="10" t="s">
        <v>27</v>
      </c>
      <c r="E24" s="10" t="s">
        <v>27</v>
      </c>
      <c r="F24" s="10" t="s">
        <v>1307</v>
      </c>
      <c r="G24" s="10" t="s">
        <v>27</v>
      </c>
      <c r="H24" s="10" t="s">
        <v>46</v>
      </c>
      <c r="I24" s="10" t="s">
        <v>46</v>
      </c>
      <c r="J24" s="10" t="s">
        <v>1307</v>
      </c>
      <c r="K24" s="10" t="s">
        <v>46</v>
      </c>
    </row>
    <row r="25" spans="1:11" ht="19.2" customHeight="1">
      <c r="A25" s="10">
        <v>17</v>
      </c>
      <c r="B25" s="10">
        <v>20</v>
      </c>
      <c r="C25" s="10" t="s">
        <v>110</v>
      </c>
      <c r="D25" s="10" t="s">
        <v>27</v>
      </c>
      <c r="E25" s="10" t="s">
        <v>27</v>
      </c>
      <c r="F25" s="10" t="s">
        <v>1307</v>
      </c>
      <c r="G25" s="10" t="s">
        <v>27</v>
      </c>
      <c r="H25" s="10" t="s">
        <v>112</v>
      </c>
      <c r="I25" s="10" t="s">
        <v>112</v>
      </c>
      <c r="J25" s="10" t="s">
        <v>1307</v>
      </c>
      <c r="K25" s="10" t="s">
        <v>112</v>
      </c>
    </row>
    <row r="26" spans="1:11" ht="19.2" customHeight="1">
      <c r="A26" s="10">
        <v>18</v>
      </c>
      <c r="B26" s="10">
        <v>21</v>
      </c>
      <c r="C26" s="10" t="s">
        <v>115</v>
      </c>
      <c r="D26" s="10" t="s">
        <v>27</v>
      </c>
      <c r="E26" s="10" t="s">
        <v>27</v>
      </c>
      <c r="F26" s="10" t="s">
        <v>1307</v>
      </c>
      <c r="G26" s="10" t="s">
        <v>27</v>
      </c>
      <c r="H26" s="10" t="s">
        <v>46</v>
      </c>
      <c r="I26" s="10" t="s">
        <v>46</v>
      </c>
      <c r="J26" s="10" t="s">
        <v>1307</v>
      </c>
      <c r="K26" s="10" t="s">
        <v>46</v>
      </c>
    </row>
    <row r="27" spans="1:11" ht="19.2" customHeight="1">
      <c r="A27" s="10">
        <v>19</v>
      </c>
      <c r="B27" s="10">
        <v>22</v>
      </c>
      <c r="C27" s="10" t="s">
        <v>118</v>
      </c>
      <c r="D27" s="10" t="s">
        <v>27</v>
      </c>
      <c r="E27" s="10" t="s">
        <v>27</v>
      </c>
      <c r="F27" s="10" t="s">
        <v>1307</v>
      </c>
      <c r="G27" s="10" t="s">
        <v>27</v>
      </c>
      <c r="H27" s="10" t="s">
        <v>45</v>
      </c>
      <c r="I27" s="10" t="s">
        <v>44</v>
      </c>
      <c r="J27" s="10" t="s">
        <v>1308</v>
      </c>
      <c r="K27" s="10" t="s">
        <v>46</v>
      </c>
    </row>
    <row r="28" spans="1:11" ht="19.2" customHeight="1">
      <c r="A28" s="10">
        <v>20</v>
      </c>
      <c r="B28" s="10">
        <v>23</v>
      </c>
      <c r="C28" s="10" t="s">
        <v>122</v>
      </c>
      <c r="D28" s="10" t="s">
        <v>123</v>
      </c>
      <c r="E28" s="10" t="s">
        <v>27</v>
      </c>
      <c r="F28" s="10" t="s">
        <v>1308</v>
      </c>
      <c r="G28" s="10" t="s">
        <v>27</v>
      </c>
      <c r="H28" s="10" t="s">
        <v>124</v>
      </c>
      <c r="I28" s="10" t="s">
        <v>125</v>
      </c>
      <c r="J28" s="10" t="s">
        <v>1308</v>
      </c>
      <c r="K28" s="10" t="s">
        <v>1309</v>
      </c>
    </row>
    <row r="29" spans="1:11" ht="19.2" customHeight="1">
      <c r="A29" s="10">
        <v>21</v>
      </c>
      <c r="B29" s="10">
        <v>24</v>
      </c>
      <c r="C29" s="10" t="s">
        <v>129</v>
      </c>
      <c r="D29" s="10" t="s">
        <v>27</v>
      </c>
      <c r="E29" s="10" t="s">
        <v>27</v>
      </c>
      <c r="F29" s="10" t="s">
        <v>1307</v>
      </c>
      <c r="G29" s="10" t="s">
        <v>27</v>
      </c>
      <c r="H29" s="10" t="s">
        <v>46</v>
      </c>
      <c r="I29" s="10" t="s">
        <v>46</v>
      </c>
      <c r="J29" s="10" t="s">
        <v>1307</v>
      </c>
      <c r="K29" s="10" t="s">
        <v>46</v>
      </c>
    </row>
    <row r="30" spans="1:11" ht="19.2" customHeight="1">
      <c r="A30" s="10">
        <v>22</v>
      </c>
      <c r="B30" s="10">
        <v>25</v>
      </c>
      <c r="C30" s="10" t="s">
        <v>131</v>
      </c>
      <c r="D30" s="10" t="s">
        <v>27</v>
      </c>
      <c r="E30" s="10" t="s">
        <v>27</v>
      </c>
      <c r="F30" s="10" t="s">
        <v>1307</v>
      </c>
      <c r="G30" s="10" t="s">
        <v>27</v>
      </c>
      <c r="H30" s="10" t="s">
        <v>103</v>
      </c>
      <c r="I30" s="10" t="s">
        <v>103</v>
      </c>
      <c r="J30" s="10" t="s">
        <v>1307</v>
      </c>
      <c r="K30" s="10" t="s">
        <v>103</v>
      </c>
    </row>
    <row r="31" spans="1:11" ht="19.2" customHeight="1">
      <c r="A31" s="10">
        <v>23</v>
      </c>
      <c r="B31" s="10">
        <v>26</v>
      </c>
      <c r="C31" s="10" t="s">
        <v>135</v>
      </c>
      <c r="D31" s="10" t="s">
        <v>27</v>
      </c>
      <c r="E31" s="10" t="s">
        <v>27</v>
      </c>
      <c r="F31" s="10" t="s">
        <v>1307</v>
      </c>
      <c r="G31" s="10" t="s">
        <v>27</v>
      </c>
      <c r="H31" s="10" t="s">
        <v>46</v>
      </c>
      <c r="I31" s="10" t="s">
        <v>46</v>
      </c>
      <c r="J31" s="10" t="s">
        <v>1307</v>
      </c>
      <c r="K31" s="10" t="s">
        <v>46</v>
      </c>
    </row>
    <row r="32" spans="1:11" ht="19.2" customHeight="1">
      <c r="A32" s="10">
        <v>24</v>
      </c>
      <c r="B32" s="10">
        <v>27</v>
      </c>
      <c r="C32" s="10" t="s">
        <v>138</v>
      </c>
      <c r="D32" s="10" t="s">
        <v>27</v>
      </c>
      <c r="E32" s="10" t="s">
        <v>27</v>
      </c>
      <c r="F32" s="10" t="s">
        <v>1307</v>
      </c>
      <c r="G32" s="10" t="s">
        <v>27</v>
      </c>
      <c r="H32" s="10" t="s">
        <v>112</v>
      </c>
      <c r="I32" s="10" t="s">
        <v>112</v>
      </c>
      <c r="J32" s="10" t="s">
        <v>1307</v>
      </c>
      <c r="K32" s="10" t="s">
        <v>112</v>
      </c>
    </row>
    <row r="33" spans="1:11" ht="19.2" customHeight="1">
      <c r="A33" s="10">
        <v>25</v>
      </c>
      <c r="B33" s="10">
        <v>28</v>
      </c>
      <c r="C33" s="10" t="s">
        <v>142</v>
      </c>
      <c r="D33" s="10" t="s">
        <v>27</v>
      </c>
      <c r="E33" s="10" t="s">
        <v>27</v>
      </c>
      <c r="F33" s="10" t="s">
        <v>1307</v>
      </c>
      <c r="G33" s="10" t="s">
        <v>27</v>
      </c>
      <c r="H33" s="10" t="s">
        <v>45</v>
      </c>
      <c r="I33" s="10" t="s">
        <v>45</v>
      </c>
      <c r="J33" s="10" t="s">
        <v>1307</v>
      </c>
      <c r="K33" s="10" t="s">
        <v>45</v>
      </c>
    </row>
    <row r="34" spans="1:11" ht="19.2" customHeight="1">
      <c r="A34" s="10">
        <v>26</v>
      </c>
      <c r="B34" s="10">
        <v>29</v>
      </c>
      <c r="C34" s="10" t="s">
        <v>145</v>
      </c>
      <c r="D34" s="10" t="s">
        <v>27</v>
      </c>
      <c r="E34" s="10" t="s">
        <v>27</v>
      </c>
      <c r="F34" s="10" t="s">
        <v>1307</v>
      </c>
      <c r="G34" s="10" t="s">
        <v>27</v>
      </c>
      <c r="H34" s="10" t="s">
        <v>44</v>
      </c>
      <c r="I34" s="10" t="s">
        <v>44</v>
      </c>
      <c r="J34" s="10" t="s">
        <v>1307</v>
      </c>
      <c r="K34" s="10" t="s">
        <v>44</v>
      </c>
    </row>
    <row r="35" spans="1:11" ht="19.2" customHeight="1">
      <c r="A35" s="10">
        <v>27</v>
      </c>
      <c r="B35" s="10">
        <v>30</v>
      </c>
      <c r="C35" s="10" t="s">
        <v>148</v>
      </c>
      <c r="D35" s="10" t="s">
        <v>27</v>
      </c>
      <c r="E35" s="10" t="s">
        <v>27</v>
      </c>
      <c r="F35" s="10" t="s">
        <v>1307</v>
      </c>
      <c r="G35" s="10" t="s">
        <v>27</v>
      </c>
      <c r="H35" s="10" t="s">
        <v>112</v>
      </c>
      <c r="I35" s="10" t="s">
        <v>112</v>
      </c>
      <c r="J35" s="10" t="s">
        <v>1307</v>
      </c>
      <c r="K35" s="10" t="s">
        <v>112</v>
      </c>
    </row>
    <row r="36" spans="1:11" ht="19.2" customHeight="1">
      <c r="A36" s="10">
        <v>28</v>
      </c>
      <c r="B36" s="10">
        <v>31</v>
      </c>
      <c r="C36" s="10" t="s">
        <v>152</v>
      </c>
      <c r="D36" s="10" t="s">
        <v>27</v>
      </c>
      <c r="E36" s="10" t="s">
        <v>27</v>
      </c>
      <c r="F36" s="10" t="s">
        <v>1307</v>
      </c>
      <c r="G36" s="10" t="s">
        <v>27</v>
      </c>
      <c r="H36" s="10" t="s">
        <v>46</v>
      </c>
      <c r="I36" s="10" t="s">
        <v>46</v>
      </c>
      <c r="J36" s="10" t="s">
        <v>1307</v>
      </c>
      <c r="K36" s="10" t="s">
        <v>46</v>
      </c>
    </row>
    <row r="37" spans="1:11" ht="19.2" customHeight="1">
      <c r="A37" s="10">
        <v>29</v>
      </c>
      <c r="B37" s="10">
        <v>32</v>
      </c>
      <c r="C37" s="10" t="s">
        <v>157</v>
      </c>
      <c r="D37" s="10" t="s">
        <v>27</v>
      </c>
      <c r="E37" s="10" t="s">
        <v>27</v>
      </c>
      <c r="F37" s="10" t="s">
        <v>1307</v>
      </c>
      <c r="G37" s="10" t="s">
        <v>27</v>
      </c>
      <c r="H37" s="10" t="s">
        <v>46</v>
      </c>
      <c r="I37" s="10" t="s">
        <v>46</v>
      </c>
      <c r="J37" s="10" t="s">
        <v>1307</v>
      </c>
      <c r="K37" s="10" t="s">
        <v>46</v>
      </c>
    </row>
    <row r="38" spans="1:11" ht="19.2" customHeight="1">
      <c r="A38" s="10">
        <v>30</v>
      </c>
      <c r="B38" s="10">
        <v>33</v>
      </c>
      <c r="C38" s="10" t="s">
        <v>159</v>
      </c>
      <c r="D38" s="10" t="s">
        <v>27</v>
      </c>
      <c r="E38" s="10" t="s">
        <v>27</v>
      </c>
      <c r="F38" s="10" t="s">
        <v>1307</v>
      </c>
      <c r="G38" s="10" t="s">
        <v>27</v>
      </c>
      <c r="H38" s="10" t="s">
        <v>46</v>
      </c>
      <c r="I38" s="10" t="s">
        <v>46</v>
      </c>
      <c r="J38" s="10" t="s">
        <v>1307</v>
      </c>
      <c r="K38" s="10" t="s">
        <v>46</v>
      </c>
    </row>
    <row r="39" spans="1:11" ht="19.2" customHeight="1">
      <c r="A39" s="10">
        <v>31</v>
      </c>
      <c r="B39" s="10">
        <v>34</v>
      </c>
      <c r="C39" s="10" t="s">
        <v>161</v>
      </c>
      <c r="D39" s="10" t="s">
        <v>27</v>
      </c>
      <c r="E39" s="10" t="s">
        <v>27</v>
      </c>
      <c r="F39" s="10" t="s">
        <v>1307</v>
      </c>
      <c r="G39" s="10" t="s">
        <v>27</v>
      </c>
      <c r="H39" s="10" t="s">
        <v>44</v>
      </c>
      <c r="I39" s="10" t="s">
        <v>44</v>
      </c>
      <c r="J39" s="10" t="s">
        <v>1307</v>
      </c>
      <c r="K39" s="10" t="s">
        <v>44</v>
      </c>
    </row>
    <row r="40" spans="1:11" ht="19.2" customHeight="1">
      <c r="A40" s="10">
        <v>32</v>
      </c>
      <c r="B40" s="10">
        <v>35</v>
      </c>
      <c r="C40" s="10" t="s">
        <v>163</v>
      </c>
      <c r="D40" s="10" t="s">
        <v>27</v>
      </c>
      <c r="E40" s="10" t="s">
        <v>27</v>
      </c>
      <c r="F40" s="10" t="s">
        <v>1307</v>
      </c>
      <c r="G40" s="10" t="s">
        <v>27</v>
      </c>
      <c r="H40" s="10" t="s">
        <v>46</v>
      </c>
      <c r="I40" s="10" t="s">
        <v>46</v>
      </c>
      <c r="J40" s="10" t="s">
        <v>1307</v>
      </c>
      <c r="K40" s="10" t="s">
        <v>46</v>
      </c>
    </row>
    <row r="41" spans="1:11" ht="19.2" customHeight="1">
      <c r="A41" s="10">
        <v>33</v>
      </c>
      <c r="B41" s="10">
        <v>36</v>
      </c>
      <c r="C41" s="10" t="s">
        <v>167</v>
      </c>
      <c r="D41" s="10" t="s">
        <v>27</v>
      </c>
      <c r="E41" s="10" t="s">
        <v>27</v>
      </c>
      <c r="F41" s="10" t="s">
        <v>1307</v>
      </c>
      <c r="G41" s="10" t="s">
        <v>27</v>
      </c>
      <c r="H41" s="10" t="s">
        <v>66</v>
      </c>
      <c r="I41" s="10" t="s">
        <v>66</v>
      </c>
      <c r="J41" s="10" t="s">
        <v>1307</v>
      </c>
      <c r="K41" s="10" t="s">
        <v>66</v>
      </c>
    </row>
    <row r="42" spans="1:11" ht="19.2" customHeight="1">
      <c r="A42" s="10">
        <v>34</v>
      </c>
      <c r="B42" s="10">
        <v>37</v>
      </c>
      <c r="C42" s="10" t="s">
        <v>171</v>
      </c>
      <c r="D42" s="10" t="s">
        <v>27</v>
      </c>
      <c r="E42" s="10" t="s">
        <v>27</v>
      </c>
      <c r="F42" s="10" t="s">
        <v>1307</v>
      </c>
      <c r="G42" s="10" t="s">
        <v>27</v>
      </c>
      <c r="H42" s="10" t="s">
        <v>44</v>
      </c>
      <c r="I42" s="10" t="s">
        <v>44</v>
      </c>
      <c r="J42" s="10" t="s">
        <v>1307</v>
      </c>
      <c r="K42" s="10" t="s">
        <v>44</v>
      </c>
    </row>
    <row r="43" spans="1:11" ht="19.2" customHeight="1">
      <c r="A43" s="10">
        <v>35</v>
      </c>
      <c r="B43" s="10">
        <v>38</v>
      </c>
      <c r="C43" s="10" t="s">
        <v>173</v>
      </c>
      <c r="D43" s="10" t="s">
        <v>27</v>
      </c>
      <c r="E43" s="10" t="s">
        <v>27</v>
      </c>
      <c r="F43" s="10" t="s">
        <v>1307</v>
      </c>
      <c r="G43" s="10" t="s">
        <v>27</v>
      </c>
      <c r="H43" s="10" t="s">
        <v>44</v>
      </c>
      <c r="I43" s="10" t="s">
        <v>44</v>
      </c>
      <c r="J43" s="10" t="s">
        <v>1307</v>
      </c>
      <c r="K43" s="10" t="s">
        <v>44</v>
      </c>
    </row>
    <row r="44" spans="1:11" ht="19.2" customHeight="1">
      <c r="A44" s="10">
        <v>36</v>
      </c>
      <c r="B44" s="10">
        <v>39</v>
      </c>
      <c r="C44" s="10" t="s">
        <v>175</v>
      </c>
      <c r="D44" s="10" t="s">
        <v>27</v>
      </c>
      <c r="E44" s="10" t="s">
        <v>27</v>
      </c>
      <c r="F44" s="10" t="s">
        <v>1307</v>
      </c>
      <c r="G44" s="10" t="s">
        <v>27</v>
      </c>
      <c r="H44" s="10" t="s">
        <v>46</v>
      </c>
      <c r="I44" s="10" t="s">
        <v>46</v>
      </c>
      <c r="J44" s="10" t="s">
        <v>1307</v>
      </c>
      <c r="K44" s="10" t="s">
        <v>46</v>
      </c>
    </row>
    <row r="45" spans="1:11" ht="19.2" customHeight="1">
      <c r="A45" s="10">
        <v>37</v>
      </c>
      <c r="B45" s="10">
        <v>40</v>
      </c>
      <c r="C45" s="10" t="s">
        <v>177</v>
      </c>
      <c r="D45" s="10" t="s">
        <v>27</v>
      </c>
      <c r="E45" s="10" t="s">
        <v>27</v>
      </c>
      <c r="F45" s="10" t="s">
        <v>1307</v>
      </c>
      <c r="G45" s="10" t="s">
        <v>27</v>
      </c>
      <c r="H45" s="10" t="s">
        <v>46</v>
      </c>
      <c r="I45" s="10" t="s">
        <v>46</v>
      </c>
      <c r="J45" s="10" t="s">
        <v>1307</v>
      </c>
      <c r="K45" s="10" t="s">
        <v>46</v>
      </c>
    </row>
    <row r="46" spans="1:11" ht="19.2" customHeight="1">
      <c r="A46" s="10">
        <v>38</v>
      </c>
      <c r="B46" s="10">
        <v>41</v>
      </c>
      <c r="C46" s="10" t="s">
        <v>181</v>
      </c>
      <c r="D46" s="10" t="s">
        <v>27</v>
      </c>
      <c r="E46" s="10" t="s">
        <v>27</v>
      </c>
      <c r="F46" s="10" t="s">
        <v>1307</v>
      </c>
      <c r="G46" s="10" t="s">
        <v>27</v>
      </c>
      <c r="H46" s="10" t="s">
        <v>183</v>
      </c>
      <c r="I46" s="10" t="s">
        <v>183</v>
      </c>
      <c r="J46" s="10" t="s">
        <v>1307</v>
      </c>
      <c r="K46" s="10" t="s">
        <v>183</v>
      </c>
    </row>
    <row r="47" spans="1:11" ht="19.2" customHeight="1">
      <c r="A47" s="10">
        <v>39</v>
      </c>
      <c r="B47" s="10">
        <v>42</v>
      </c>
      <c r="C47" s="10" t="s">
        <v>185</v>
      </c>
      <c r="D47" s="10" t="s">
        <v>27</v>
      </c>
      <c r="E47" s="10" t="s">
        <v>27</v>
      </c>
      <c r="F47" s="10" t="s">
        <v>1307</v>
      </c>
      <c r="G47" s="10" t="s">
        <v>27</v>
      </c>
      <c r="H47" s="10" t="s">
        <v>46</v>
      </c>
      <c r="I47" s="10" t="s">
        <v>46</v>
      </c>
      <c r="J47" s="10" t="s">
        <v>1307</v>
      </c>
      <c r="K47" s="10" t="s">
        <v>46</v>
      </c>
    </row>
    <row r="48" spans="1:11" ht="19.2" customHeight="1">
      <c r="A48" s="10">
        <v>40</v>
      </c>
      <c r="B48" s="10">
        <v>43</v>
      </c>
      <c r="C48" s="10" t="s">
        <v>188</v>
      </c>
      <c r="D48" s="10" t="s">
        <v>27</v>
      </c>
      <c r="E48" s="10" t="s">
        <v>27</v>
      </c>
      <c r="F48" s="10" t="s">
        <v>1307</v>
      </c>
      <c r="G48" s="10" t="s">
        <v>27</v>
      </c>
      <c r="H48" s="10" t="s">
        <v>45</v>
      </c>
      <c r="I48" s="10" t="s">
        <v>45</v>
      </c>
      <c r="J48" s="10" t="s">
        <v>1307</v>
      </c>
      <c r="K48" s="10" t="s">
        <v>45</v>
      </c>
    </row>
    <row r="49" spans="1:11" ht="19.2" customHeight="1">
      <c r="A49" s="10">
        <v>41</v>
      </c>
      <c r="B49" s="10">
        <v>44</v>
      </c>
      <c r="C49" s="10" t="s">
        <v>190</v>
      </c>
      <c r="D49" s="10" t="s">
        <v>27</v>
      </c>
      <c r="E49" s="10" t="s">
        <v>27</v>
      </c>
      <c r="F49" s="10" t="s">
        <v>1307</v>
      </c>
      <c r="G49" s="10" t="s">
        <v>27</v>
      </c>
      <c r="H49" s="10" t="s">
        <v>45</v>
      </c>
      <c r="I49" s="10" t="s">
        <v>45</v>
      </c>
      <c r="J49" s="10" t="s">
        <v>1307</v>
      </c>
      <c r="K49" s="10" t="s">
        <v>45</v>
      </c>
    </row>
    <row r="50" spans="1:11" ht="19.2" customHeight="1">
      <c r="A50" s="10">
        <v>42</v>
      </c>
      <c r="B50" s="10">
        <v>45</v>
      </c>
      <c r="C50" s="10" t="s">
        <v>193</v>
      </c>
      <c r="D50" s="10" t="s">
        <v>27</v>
      </c>
      <c r="E50" s="10" t="s">
        <v>27</v>
      </c>
      <c r="F50" s="10" t="s">
        <v>1307</v>
      </c>
      <c r="G50" s="10" t="s">
        <v>27</v>
      </c>
      <c r="H50" s="10" t="s">
        <v>46</v>
      </c>
      <c r="I50" s="10" t="s">
        <v>46</v>
      </c>
      <c r="J50" s="10" t="s">
        <v>1307</v>
      </c>
      <c r="K50" s="10" t="s">
        <v>46</v>
      </c>
    </row>
    <row r="51" spans="1:11" ht="19.2" customHeight="1">
      <c r="A51" s="10">
        <v>43</v>
      </c>
      <c r="B51" s="10">
        <v>46</v>
      </c>
      <c r="C51" s="10" t="s">
        <v>196</v>
      </c>
      <c r="D51" s="10" t="s">
        <v>27</v>
      </c>
      <c r="E51" s="10" t="s">
        <v>71</v>
      </c>
      <c r="F51" s="10" t="s">
        <v>1308</v>
      </c>
      <c r="G51" s="10" t="s">
        <v>71</v>
      </c>
      <c r="H51" s="10" t="s">
        <v>44</v>
      </c>
      <c r="I51" s="10" t="s">
        <v>44</v>
      </c>
      <c r="J51" s="10" t="s">
        <v>1307</v>
      </c>
      <c r="K51" s="10" t="s">
        <v>44</v>
      </c>
    </row>
    <row r="52" spans="1:11" ht="19.2" customHeight="1">
      <c r="A52" s="10">
        <v>44</v>
      </c>
      <c r="B52" s="10">
        <v>47</v>
      </c>
      <c r="C52" s="10" t="s">
        <v>200</v>
      </c>
      <c r="D52" s="10" t="s">
        <v>27</v>
      </c>
      <c r="E52" s="10" t="s">
        <v>27</v>
      </c>
      <c r="F52" s="10" t="s">
        <v>1307</v>
      </c>
      <c r="G52" s="10" t="s">
        <v>27</v>
      </c>
      <c r="H52" s="10" t="s">
        <v>66</v>
      </c>
      <c r="I52" s="10" t="s">
        <v>66</v>
      </c>
      <c r="J52" s="10" t="s">
        <v>1307</v>
      </c>
      <c r="K52" s="10" t="s">
        <v>66</v>
      </c>
    </row>
    <row r="53" spans="1:11" ht="19.2" customHeight="1">
      <c r="A53" s="10">
        <v>45</v>
      </c>
      <c r="B53" s="10">
        <v>48</v>
      </c>
      <c r="C53" s="10" t="s">
        <v>204</v>
      </c>
      <c r="D53" s="10" t="s">
        <v>27</v>
      </c>
      <c r="E53" s="10" t="s">
        <v>27</v>
      </c>
      <c r="F53" s="10" t="s">
        <v>1307</v>
      </c>
      <c r="G53" s="10" t="s">
        <v>27</v>
      </c>
      <c r="H53" s="10" t="s">
        <v>45</v>
      </c>
      <c r="I53" s="10" t="s">
        <v>44</v>
      </c>
      <c r="J53" s="10" t="s">
        <v>1308</v>
      </c>
      <c r="K53" s="10" t="s">
        <v>46</v>
      </c>
    </row>
    <row r="54" spans="1:11" ht="19.2" customHeight="1">
      <c r="A54" s="10">
        <v>46</v>
      </c>
      <c r="B54" s="10">
        <v>49</v>
      </c>
      <c r="C54" s="10" t="s">
        <v>208</v>
      </c>
      <c r="D54" s="10" t="s">
        <v>27</v>
      </c>
      <c r="E54" s="10" t="s">
        <v>27</v>
      </c>
      <c r="F54" s="10" t="s">
        <v>1307</v>
      </c>
      <c r="G54" s="10" t="s">
        <v>27</v>
      </c>
      <c r="H54" s="10" t="s">
        <v>44</v>
      </c>
      <c r="I54" s="10" t="s">
        <v>44</v>
      </c>
      <c r="J54" s="10" t="s">
        <v>1307</v>
      </c>
      <c r="K54" s="10" t="s">
        <v>44</v>
      </c>
    </row>
    <row r="55" spans="1:11" ht="19.2" customHeight="1">
      <c r="A55" s="10">
        <v>47</v>
      </c>
      <c r="B55" s="10">
        <v>50</v>
      </c>
      <c r="C55" s="10" t="s">
        <v>210</v>
      </c>
      <c r="D55" s="10" t="s">
        <v>27</v>
      </c>
      <c r="E55" s="10" t="s">
        <v>27</v>
      </c>
      <c r="F55" s="10" t="s">
        <v>1307</v>
      </c>
      <c r="G55" s="10" t="s">
        <v>27</v>
      </c>
      <c r="H55" s="10" t="s">
        <v>112</v>
      </c>
      <c r="I55" s="10" t="s">
        <v>112</v>
      </c>
      <c r="J55" s="10" t="s">
        <v>1307</v>
      </c>
      <c r="K55" s="10" t="s">
        <v>112</v>
      </c>
    </row>
    <row r="56" spans="1:11" ht="19.2" customHeight="1">
      <c r="A56" s="10">
        <v>48</v>
      </c>
      <c r="B56" s="10">
        <v>51</v>
      </c>
      <c r="C56" s="10" t="s">
        <v>213</v>
      </c>
      <c r="D56" s="10" t="s">
        <v>27</v>
      </c>
      <c r="E56" s="10" t="s">
        <v>27</v>
      </c>
      <c r="F56" s="10" t="s">
        <v>1307</v>
      </c>
      <c r="G56" s="10" t="s">
        <v>27</v>
      </c>
      <c r="H56" s="10" t="s">
        <v>44</v>
      </c>
      <c r="I56" s="10" t="s">
        <v>44</v>
      </c>
      <c r="J56" s="10" t="s">
        <v>1307</v>
      </c>
      <c r="K56" s="10" t="s">
        <v>44</v>
      </c>
    </row>
    <row r="57" spans="1:11" ht="19.2" customHeight="1">
      <c r="A57" s="10">
        <v>49</v>
      </c>
      <c r="B57" s="10">
        <v>52</v>
      </c>
      <c r="C57" s="10" t="s">
        <v>215</v>
      </c>
      <c r="D57" s="10" t="s">
        <v>27</v>
      </c>
      <c r="E57" s="10" t="s">
        <v>27</v>
      </c>
      <c r="F57" s="10" t="s">
        <v>1307</v>
      </c>
      <c r="G57" s="10" t="s">
        <v>27</v>
      </c>
      <c r="H57" s="10" t="s">
        <v>44</v>
      </c>
      <c r="I57" s="10" t="s">
        <v>44</v>
      </c>
      <c r="J57" s="10" t="s">
        <v>1307</v>
      </c>
      <c r="K57" s="10" t="s">
        <v>44</v>
      </c>
    </row>
    <row r="58" spans="1:11" ht="19.2" customHeight="1">
      <c r="A58" s="10">
        <v>50</v>
      </c>
      <c r="B58" s="10">
        <v>53</v>
      </c>
      <c r="C58" s="10" t="s">
        <v>218</v>
      </c>
      <c r="D58" s="10" t="s">
        <v>27</v>
      </c>
      <c r="E58" s="10" t="s">
        <v>27</v>
      </c>
      <c r="F58" s="10" t="s">
        <v>1307</v>
      </c>
      <c r="G58" s="10" t="s">
        <v>27</v>
      </c>
      <c r="H58" s="10" t="s">
        <v>45</v>
      </c>
      <c r="I58" s="10" t="s">
        <v>45</v>
      </c>
      <c r="J58" s="10" t="s">
        <v>1307</v>
      </c>
      <c r="K58" s="10" t="s">
        <v>45</v>
      </c>
    </row>
    <row r="59" spans="1:11" ht="19.2" customHeight="1">
      <c r="A59" s="10">
        <v>51</v>
      </c>
      <c r="B59" s="10">
        <v>54</v>
      </c>
      <c r="C59" s="10" t="s">
        <v>220</v>
      </c>
      <c r="D59" s="10" t="s">
        <v>27</v>
      </c>
      <c r="E59" s="10" t="s">
        <v>71</v>
      </c>
      <c r="F59" s="10" t="s">
        <v>1308</v>
      </c>
      <c r="G59" s="10" t="s">
        <v>27</v>
      </c>
      <c r="H59" s="10" t="s">
        <v>183</v>
      </c>
      <c r="I59" s="10" t="s">
        <v>44</v>
      </c>
      <c r="J59" s="10" t="s">
        <v>1308</v>
      </c>
      <c r="K59" s="10" t="s">
        <v>1310</v>
      </c>
    </row>
    <row r="60" spans="1:11" ht="19.2" customHeight="1">
      <c r="A60" s="10">
        <v>52</v>
      </c>
      <c r="B60" s="10">
        <v>55</v>
      </c>
      <c r="C60" s="10" t="s">
        <v>224</v>
      </c>
      <c r="D60" s="10" t="s">
        <v>71</v>
      </c>
      <c r="E60" s="10" t="s">
        <v>71</v>
      </c>
      <c r="F60" s="10" t="s">
        <v>1307</v>
      </c>
      <c r="G60" s="10" t="s">
        <v>71</v>
      </c>
      <c r="H60" s="10" t="s">
        <v>183</v>
      </c>
      <c r="I60" s="10" t="s">
        <v>183</v>
      </c>
      <c r="J60" s="10" t="s">
        <v>1307</v>
      </c>
      <c r="K60" s="10" t="s">
        <v>183</v>
      </c>
    </row>
    <row r="61" spans="1:11" ht="19.2" customHeight="1">
      <c r="A61" s="10">
        <v>53</v>
      </c>
      <c r="B61" s="10">
        <v>56</v>
      </c>
      <c r="C61" s="10" t="s">
        <v>226</v>
      </c>
      <c r="D61" s="10" t="s">
        <v>27</v>
      </c>
      <c r="E61" s="10" t="s">
        <v>27</v>
      </c>
      <c r="F61" s="10" t="s">
        <v>1307</v>
      </c>
      <c r="G61" s="10" t="s">
        <v>27</v>
      </c>
      <c r="H61" s="10" t="s">
        <v>66</v>
      </c>
      <c r="I61" s="10" t="s">
        <v>66</v>
      </c>
      <c r="J61" s="10" t="s">
        <v>1307</v>
      </c>
      <c r="K61" s="10" t="s">
        <v>66</v>
      </c>
    </row>
    <row r="62" spans="1:11" ht="19.2" customHeight="1">
      <c r="A62" s="10">
        <v>54</v>
      </c>
      <c r="B62" s="10">
        <v>57</v>
      </c>
      <c r="C62" s="10" t="s">
        <v>231</v>
      </c>
      <c r="D62" s="10" t="s">
        <v>27</v>
      </c>
      <c r="E62" s="10" t="s">
        <v>27</v>
      </c>
      <c r="F62" s="10" t="s">
        <v>1307</v>
      </c>
      <c r="G62" s="10" t="s">
        <v>27</v>
      </c>
      <c r="H62" s="10" t="s">
        <v>103</v>
      </c>
      <c r="I62" s="10" t="s">
        <v>103</v>
      </c>
      <c r="J62" s="10" t="s">
        <v>1307</v>
      </c>
      <c r="K62" s="10" t="s">
        <v>103</v>
      </c>
    </row>
    <row r="63" spans="1:11" ht="19.2" customHeight="1">
      <c r="A63" s="10">
        <v>55</v>
      </c>
      <c r="B63" s="10">
        <v>58</v>
      </c>
      <c r="C63" s="10" t="s">
        <v>234</v>
      </c>
      <c r="D63" s="10" t="s">
        <v>71</v>
      </c>
      <c r="E63" s="10" t="s">
        <v>27</v>
      </c>
      <c r="F63" s="10" t="s">
        <v>1308</v>
      </c>
      <c r="G63" s="10" t="s">
        <v>27</v>
      </c>
      <c r="H63" s="10" t="s">
        <v>1311</v>
      </c>
      <c r="I63" s="10" t="s">
        <v>236</v>
      </c>
      <c r="J63" s="10" t="s">
        <v>1308</v>
      </c>
      <c r="K63" s="10" t="s">
        <v>1311</v>
      </c>
    </row>
    <row r="64" spans="1:11" ht="19.2" customHeight="1">
      <c r="A64" s="10">
        <v>56</v>
      </c>
      <c r="B64" s="10">
        <v>59</v>
      </c>
      <c r="C64" s="10" t="s">
        <v>240</v>
      </c>
      <c r="D64" s="10" t="s">
        <v>27</v>
      </c>
      <c r="E64" s="10" t="s">
        <v>27</v>
      </c>
      <c r="F64" s="10" t="s">
        <v>1307</v>
      </c>
      <c r="G64" s="10" t="s">
        <v>27</v>
      </c>
      <c r="H64" s="10" t="s">
        <v>124</v>
      </c>
      <c r="I64" s="10" t="s">
        <v>103</v>
      </c>
      <c r="J64" s="10" t="s">
        <v>1308</v>
      </c>
      <c r="K64" s="10" t="s">
        <v>66</v>
      </c>
    </row>
    <row r="65" spans="1:11" ht="19.2" customHeight="1">
      <c r="A65" s="10">
        <v>57</v>
      </c>
      <c r="B65" s="10">
        <v>60</v>
      </c>
      <c r="C65" s="10" t="s">
        <v>243</v>
      </c>
      <c r="D65" s="10" t="s">
        <v>27</v>
      </c>
      <c r="E65" s="10" t="s">
        <v>27</v>
      </c>
      <c r="F65" s="10" t="s">
        <v>1307</v>
      </c>
      <c r="G65" s="10" t="s">
        <v>27</v>
      </c>
      <c r="H65" s="10" t="s">
        <v>44</v>
      </c>
      <c r="I65" s="10" t="s">
        <v>44</v>
      </c>
      <c r="J65" s="10" t="s">
        <v>1307</v>
      </c>
      <c r="K65" s="10" t="s">
        <v>44</v>
      </c>
    </row>
    <row r="66" spans="1:11" ht="19.2" customHeight="1">
      <c r="A66" s="10">
        <v>58</v>
      </c>
      <c r="B66" s="10">
        <v>61</v>
      </c>
      <c r="C66" s="10" t="s">
        <v>245</v>
      </c>
      <c r="D66" s="10" t="s">
        <v>27</v>
      </c>
      <c r="E66" s="10" t="s">
        <v>27</v>
      </c>
      <c r="F66" s="10" t="s">
        <v>1307</v>
      </c>
      <c r="G66" s="10" t="s">
        <v>27</v>
      </c>
      <c r="H66" s="10" t="s">
        <v>44</v>
      </c>
      <c r="I66" s="10" t="s">
        <v>45</v>
      </c>
      <c r="J66" s="10" t="s">
        <v>1308</v>
      </c>
      <c r="K66" s="10" t="s">
        <v>46</v>
      </c>
    </row>
    <row r="67" spans="1:11" ht="19.2" customHeight="1">
      <c r="A67" s="10">
        <v>59</v>
      </c>
      <c r="B67" s="10">
        <v>62</v>
      </c>
      <c r="C67" s="10" t="s">
        <v>247</v>
      </c>
      <c r="D67" s="10" t="s">
        <v>27</v>
      </c>
      <c r="E67" s="10" t="s">
        <v>27</v>
      </c>
      <c r="F67" s="10" t="s">
        <v>1307</v>
      </c>
      <c r="G67" s="10" t="s">
        <v>27</v>
      </c>
      <c r="H67" s="10" t="s">
        <v>103</v>
      </c>
      <c r="I67" s="10" t="s">
        <v>103</v>
      </c>
      <c r="J67" s="10" t="s">
        <v>1307</v>
      </c>
      <c r="K67" s="10" t="s">
        <v>103</v>
      </c>
    </row>
    <row r="68" spans="1:11" ht="19.2" customHeight="1">
      <c r="A68" s="10">
        <v>60</v>
      </c>
      <c r="B68" s="10">
        <v>63</v>
      </c>
      <c r="C68" s="10" t="s">
        <v>251</v>
      </c>
      <c r="D68" s="10" t="s">
        <v>71</v>
      </c>
      <c r="E68" s="10" t="s">
        <v>71</v>
      </c>
      <c r="F68" s="10" t="s">
        <v>1307</v>
      </c>
      <c r="G68" s="10" t="s">
        <v>71</v>
      </c>
      <c r="H68" s="10" t="s">
        <v>236</v>
      </c>
      <c r="I68" s="10" t="s">
        <v>236</v>
      </c>
      <c r="J68" s="10" t="s">
        <v>1307</v>
      </c>
      <c r="K68" s="10" t="s">
        <v>236</v>
      </c>
    </row>
    <row r="69" spans="1:11" ht="19.2" customHeight="1">
      <c r="A69" s="10">
        <v>61</v>
      </c>
      <c r="B69" s="10">
        <v>64</v>
      </c>
      <c r="C69" s="10" t="s">
        <v>254</v>
      </c>
      <c r="D69" s="10" t="s">
        <v>71</v>
      </c>
      <c r="E69" s="10" t="s">
        <v>71</v>
      </c>
      <c r="F69" s="10" t="s">
        <v>1307</v>
      </c>
      <c r="G69" s="10" t="s">
        <v>71</v>
      </c>
      <c r="H69" s="10" t="s">
        <v>236</v>
      </c>
      <c r="I69" s="10" t="s">
        <v>236</v>
      </c>
      <c r="J69" s="10" t="s">
        <v>1307</v>
      </c>
      <c r="K69" s="10" t="s">
        <v>236</v>
      </c>
    </row>
    <row r="70" spans="1:11" ht="19.2" customHeight="1">
      <c r="A70" s="10">
        <v>62</v>
      </c>
      <c r="B70" s="10">
        <v>65</v>
      </c>
      <c r="C70" s="10" t="s">
        <v>256</v>
      </c>
      <c r="D70" s="10" t="s">
        <v>71</v>
      </c>
      <c r="E70" s="10" t="s">
        <v>71</v>
      </c>
      <c r="F70" s="10" t="s">
        <v>1307</v>
      </c>
      <c r="G70" s="10" t="s">
        <v>71</v>
      </c>
      <c r="H70" s="10" t="s">
        <v>183</v>
      </c>
      <c r="I70" s="10" t="s">
        <v>183</v>
      </c>
      <c r="J70" s="10" t="s">
        <v>1307</v>
      </c>
      <c r="K70" s="10" t="s">
        <v>183</v>
      </c>
    </row>
    <row r="71" spans="1:11" ht="19.2" customHeight="1">
      <c r="A71" s="10">
        <v>63</v>
      </c>
      <c r="B71" s="10">
        <v>66</v>
      </c>
      <c r="C71" s="10" t="s">
        <v>258</v>
      </c>
      <c r="D71" s="10" t="s">
        <v>71</v>
      </c>
      <c r="E71" s="10" t="s">
        <v>71</v>
      </c>
      <c r="F71" s="10" t="s">
        <v>1307</v>
      </c>
      <c r="G71" s="10" t="s">
        <v>71</v>
      </c>
      <c r="H71" s="10" t="s">
        <v>307</v>
      </c>
      <c r="I71" s="10" t="s">
        <v>307</v>
      </c>
      <c r="J71" s="10" t="s">
        <v>1307</v>
      </c>
      <c r="K71" s="10" t="s">
        <v>307</v>
      </c>
    </row>
    <row r="72" spans="1:11" ht="19.2" customHeight="1">
      <c r="A72" s="10">
        <v>64</v>
      </c>
      <c r="B72" s="10">
        <v>67</v>
      </c>
      <c r="C72" s="10" t="s">
        <v>262</v>
      </c>
      <c r="D72" s="10" t="s">
        <v>71</v>
      </c>
      <c r="E72" s="10" t="s">
        <v>71</v>
      </c>
      <c r="F72" s="10" t="s">
        <v>1307</v>
      </c>
      <c r="G72" s="10" t="s">
        <v>71</v>
      </c>
      <c r="H72" s="10" t="s">
        <v>307</v>
      </c>
      <c r="I72" s="10" t="s">
        <v>307</v>
      </c>
      <c r="J72" s="10" t="s">
        <v>1307</v>
      </c>
      <c r="K72" s="10" t="s">
        <v>307</v>
      </c>
    </row>
    <row r="73" spans="1:11" ht="19.2" customHeight="1">
      <c r="A73" s="10">
        <v>65</v>
      </c>
      <c r="B73" s="10">
        <v>68</v>
      </c>
      <c r="C73" s="10" t="s">
        <v>265</v>
      </c>
      <c r="D73" s="10" t="s">
        <v>71</v>
      </c>
      <c r="E73" s="10" t="s">
        <v>71</v>
      </c>
      <c r="F73" s="10" t="s">
        <v>1307</v>
      </c>
      <c r="G73" s="10" t="s">
        <v>71</v>
      </c>
      <c r="H73" s="10" t="s">
        <v>236</v>
      </c>
      <c r="I73" s="10" t="s">
        <v>236</v>
      </c>
      <c r="J73" s="10" t="s">
        <v>1307</v>
      </c>
      <c r="K73" s="10" t="s">
        <v>236</v>
      </c>
    </row>
    <row r="74" spans="1:11" ht="19.2" customHeight="1">
      <c r="A74" s="10">
        <v>66</v>
      </c>
      <c r="B74" s="10">
        <v>69</v>
      </c>
      <c r="C74" s="10" t="s">
        <v>268</v>
      </c>
      <c r="D74" s="10" t="s">
        <v>71</v>
      </c>
      <c r="E74" s="10" t="s">
        <v>71</v>
      </c>
      <c r="F74" s="10" t="s">
        <v>1307</v>
      </c>
      <c r="G74" s="10" t="s">
        <v>71</v>
      </c>
      <c r="H74" s="10" t="s">
        <v>183</v>
      </c>
      <c r="I74" s="10" t="s">
        <v>236</v>
      </c>
      <c r="J74" s="10" t="s">
        <v>1308</v>
      </c>
      <c r="K74" s="10" t="s">
        <v>307</v>
      </c>
    </row>
    <row r="75" spans="1:11" ht="19.2" customHeight="1">
      <c r="A75" s="10">
        <v>67</v>
      </c>
      <c r="B75" s="10">
        <v>70</v>
      </c>
      <c r="C75" s="10" t="s">
        <v>271</v>
      </c>
      <c r="D75" s="10" t="s">
        <v>71</v>
      </c>
      <c r="E75" s="10" t="s">
        <v>71</v>
      </c>
      <c r="F75" s="10" t="s">
        <v>1307</v>
      </c>
      <c r="G75" s="10" t="s">
        <v>71</v>
      </c>
      <c r="H75" s="10" t="s">
        <v>183</v>
      </c>
      <c r="I75" s="10" t="s">
        <v>183</v>
      </c>
      <c r="J75" s="10" t="s">
        <v>1307</v>
      </c>
      <c r="K75" s="10" t="s">
        <v>183</v>
      </c>
    </row>
    <row r="76" spans="1:11" ht="19.2" customHeight="1">
      <c r="A76" s="10">
        <v>68</v>
      </c>
      <c r="B76" s="10">
        <v>71</v>
      </c>
      <c r="C76" s="10" t="s">
        <v>273</v>
      </c>
      <c r="D76" s="10" t="s">
        <v>71</v>
      </c>
      <c r="E76" s="10" t="s">
        <v>71</v>
      </c>
      <c r="F76" s="10" t="s">
        <v>1307</v>
      </c>
      <c r="G76" s="10" t="s">
        <v>71</v>
      </c>
      <c r="H76" s="10" t="s">
        <v>236</v>
      </c>
      <c r="I76" s="10" t="s">
        <v>307</v>
      </c>
      <c r="J76" s="10" t="s">
        <v>1308</v>
      </c>
      <c r="K76" s="10" t="s">
        <v>307</v>
      </c>
    </row>
    <row r="77" spans="1:11" ht="19.2" customHeight="1">
      <c r="A77" s="10">
        <v>69</v>
      </c>
      <c r="B77" s="10">
        <v>72</v>
      </c>
      <c r="C77" s="10" t="s">
        <v>276</v>
      </c>
      <c r="D77" s="10" t="s">
        <v>71</v>
      </c>
      <c r="E77" s="10" t="s">
        <v>71</v>
      </c>
      <c r="F77" s="10" t="s">
        <v>1307</v>
      </c>
      <c r="G77" s="10" t="s">
        <v>71</v>
      </c>
      <c r="H77" s="10" t="s">
        <v>183</v>
      </c>
      <c r="I77" s="10" t="s">
        <v>183</v>
      </c>
      <c r="J77" s="10" t="s">
        <v>1307</v>
      </c>
      <c r="K77" s="10" t="s">
        <v>183</v>
      </c>
    </row>
    <row r="78" spans="1:11" ht="19.2" customHeight="1">
      <c r="A78" s="10">
        <v>70</v>
      </c>
      <c r="B78" s="10">
        <v>73</v>
      </c>
      <c r="C78" s="10" t="s">
        <v>278</v>
      </c>
      <c r="D78" s="10" t="s">
        <v>71</v>
      </c>
      <c r="E78" s="10" t="s">
        <v>71</v>
      </c>
      <c r="F78" s="10" t="s">
        <v>1307</v>
      </c>
      <c r="G78" s="10" t="s">
        <v>71</v>
      </c>
      <c r="H78" s="10" t="s">
        <v>236</v>
      </c>
      <c r="I78" s="10" t="s">
        <v>236</v>
      </c>
      <c r="J78" s="10" t="s">
        <v>1307</v>
      </c>
      <c r="K78" s="10" t="s">
        <v>236</v>
      </c>
    </row>
    <row r="79" spans="1:11" ht="19.2" customHeight="1">
      <c r="A79" s="10">
        <v>71</v>
      </c>
      <c r="B79" s="10">
        <v>74</v>
      </c>
      <c r="C79" s="10" t="s">
        <v>280</v>
      </c>
      <c r="D79" s="10" t="s">
        <v>71</v>
      </c>
      <c r="E79" s="10" t="s">
        <v>71</v>
      </c>
      <c r="F79" s="10" t="s">
        <v>1307</v>
      </c>
      <c r="G79" s="10" t="s">
        <v>71</v>
      </c>
      <c r="H79" s="10" t="s">
        <v>183</v>
      </c>
      <c r="I79" s="10" t="s">
        <v>183</v>
      </c>
      <c r="J79" s="10" t="s">
        <v>1307</v>
      </c>
      <c r="K79" s="10" t="s">
        <v>183</v>
      </c>
    </row>
    <row r="80" spans="1:11" ht="19.2" customHeight="1">
      <c r="A80" s="10">
        <v>72</v>
      </c>
      <c r="B80" s="10">
        <v>75</v>
      </c>
      <c r="C80" s="10" t="s">
        <v>282</v>
      </c>
      <c r="D80" s="10" t="s">
        <v>71</v>
      </c>
      <c r="E80" s="10" t="s">
        <v>71</v>
      </c>
      <c r="F80" s="10" t="s">
        <v>1307</v>
      </c>
      <c r="G80" s="10" t="s">
        <v>71</v>
      </c>
      <c r="H80" s="10" t="s">
        <v>183</v>
      </c>
      <c r="I80" s="10" t="s">
        <v>183</v>
      </c>
      <c r="J80" s="10" t="s">
        <v>1307</v>
      </c>
      <c r="K80" s="10" t="s">
        <v>183</v>
      </c>
    </row>
    <row r="81" spans="1:11" ht="19.2" customHeight="1">
      <c r="A81" s="10">
        <v>73</v>
      </c>
      <c r="B81" s="10">
        <v>76</v>
      </c>
      <c r="C81" s="10" t="s">
        <v>284</v>
      </c>
      <c r="D81" s="10" t="s">
        <v>71</v>
      </c>
      <c r="E81" s="10" t="s">
        <v>71</v>
      </c>
      <c r="F81" s="10" t="s">
        <v>1307</v>
      </c>
      <c r="G81" s="10" t="s">
        <v>71</v>
      </c>
      <c r="H81" s="10" t="s">
        <v>183</v>
      </c>
      <c r="I81" s="10" t="s">
        <v>183</v>
      </c>
      <c r="J81" s="10" t="s">
        <v>1307</v>
      </c>
      <c r="K81" s="10" t="s">
        <v>183</v>
      </c>
    </row>
    <row r="82" spans="1:11" ht="19.2" customHeight="1">
      <c r="A82" s="10">
        <v>74</v>
      </c>
      <c r="B82" s="10">
        <v>77</v>
      </c>
      <c r="C82" s="10" t="s">
        <v>286</v>
      </c>
      <c r="D82" s="10" t="s">
        <v>71</v>
      </c>
      <c r="E82" s="10" t="s">
        <v>71</v>
      </c>
      <c r="F82" s="10" t="s">
        <v>1307</v>
      </c>
      <c r="G82" s="10" t="s">
        <v>71</v>
      </c>
      <c r="H82" s="10" t="s">
        <v>183</v>
      </c>
      <c r="I82" s="10" t="s">
        <v>183</v>
      </c>
      <c r="J82" s="10" t="s">
        <v>1307</v>
      </c>
      <c r="K82" s="10" t="s">
        <v>183</v>
      </c>
    </row>
    <row r="83" spans="1:11" ht="19.2" customHeight="1">
      <c r="A83" s="10">
        <v>75</v>
      </c>
      <c r="B83" s="10">
        <v>78</v>
      </c>
      <c r="C83" s="10" t="s">
        <v>288</v>
      </c>
      <c r="D83" s="10" t="s">
        <v>71</v>
      </c>
      <c r="E83" s="10" t="s">
        <v>71</v>
      </c>
      <c r="F83" s="10" t="s">
        <v>1307</v>
      </c>
      <c r="G83" s="10" t="s">
        <v>71</v>
      </c>
      <c r="H83" s="10" t="s">
        <v>183</v>
      </c>
      <c r="I83" s="10" t="s">
        <v>183</v>
      </c>
      <c r="J83" s="10" t="s">
        <v>1307</v>
      </c>
      <c r="K83" s="10" t="s">
        <v>183</v>
      </c>
    </row>
    <row r="84" spans="1:11" ht="19.2" customHeight="1">
      <c r="A84" s="10">
        <v>76</v>
      </c>
      <c r="B84" s="10">
        <v>79</v>
      </c>
      <c r="C84" s="10" t="s">
        <v>290</v>
      </c>
      <c r="D84" s="10" t="s">
        <v>71</v>
      </c>
      <c r="E84" s="10" t="s">
        <v>71</v>
      </c>
      <c r="F84" s="10" t="s">
        <v>1307</v>
      </c>
      <c r="G84" s="10" t="s">
        <v>71</v>
      </c>
      <c r="H84" s="10" t="s">
        <v>183</v>
      </c>
      <c r="I84" s="10" t="s">
        <v>183</v>
      </c>
      <c r="J84" s="10" t="s">
        <v>1307</v>
      </c>
      <c r="K84" s="10" t="s">
        <v>183</v>
      </c>
    </row>
    <row r="85" spans="1:11" ht="19.2" customHeight="1">
      <c r="A85" s="10">
        <v>77</v>
      </c>
      <c r="B85" s="10">
        <v>80</v>
      </c>
      <c r="C85" s="10" t="s">
        <v>293</v>
      </c>
      <c r="D85" s="10" t="s">
        <v>71</v>
      </c>
      <c r="E85" s="10" t="s">
        <v>71</v>
      </c>
      <c r="F85" s="10" t="s">
        <v>1307</v>
      </c>
      <c r="G85" s="10" t="s">
        <v>71</v>
      </c>
      <c r="H85" s="10" t="s">
        <v>183</v>
      </c>
      <c r="I85" s="10" t="s">
        <v>183</v>
      </c>
      <c r="J85" s="10" t="s">
        <v>1307</v>
      </c>
      <c r="K85" s="10" t="s">
        <v>183</v>
      </c>
    </row>
    <row r="86" spans="1:11" ht="19.2" customHeight="1">
      <c r="A86" s="10">
        <v>78</v>
      </c>
      <c r="B86" s="10">
        <v>81</v>
      </c>
      <c r="C86" s="10" t="s">
        <v>296</v>
      </c>
      <c r="D86" s="10" t="s">
        <v>71</v>
      </c>
      <c r="E86" s="10" t="s">
        <v>71</v>
      </c>
      <c r="F86" s="10" t="s">
        <v>1307</v>
      </c>
      <c r="G86" s="10" t="s">
        <v>71</v>
      </c>
      <c r="H86" s="10" t="s">
        <v>236</v>
      </c>
      <c r="I86" s="10" t="s">
        <v>236</v>
      </c>
      <c r="J86" s="10" t="s">
        <v>1307</v>
      </c>
      <c r="K86" s="10" t="s">
        <v>236</v>
      </c>
    </row>
    <row r="87" spans="1:11" ht="19.2" customHeight="1">
      <c r="A87" s="10">
        <v>79</v>
      </c>
      <c r="B87" s="10">
        <v>82</v>
      </c>
      <c r="C87" s="10" t="s">
        <v>298</v>
      </c>
      <c r="D87" s="10" t="s">
        <v>71</v>
      </c>
      <c r="E87" s="10" t="s">
        <v>71</v>
      </c>
      <c r="F87" s="10" t="s">
        <v>1307</v>
      </c>
      <c r="G87" s="10" t="s">
        <v>71</v>
      </c>
      <c r="H87" s="10" t="s">
        <v>236</v>
      </c>
      <c r="I87" s="10" t="s">
        <v>236</v>
      </c>
      <c r="J87" s="10" t="s">
        <v>1307</v>
      </c>
      <c r="K87" s="10" t="s">
        <v>236</v>
      </c>
    </row>
    <row r="88" spans="1:11" ht="19.2" customHeight="1">
      <c r="A88" s="10">
        <v>80</v>
      </c>
      <c r="B88" s="10">
        <v>83</v>
      </c>
      <c r="C88" s="10" t="s">
        <v>300</v>
      </c>
      <c r="D88" s="10" t="s">
        <v>71</v>
      </c>
      <c r="E88" s="10" t="s">
        <v>71</v>
      </c>
      <c r="F88" s="10" t="s">
        <v>1307</v>
      </c>
      <c r="G88" s="10" t="s">
        <v>71</v>
      </c>
      <c r="H88" s="10" t="s">
        <v>236</v>
      </c>
      <c r="I88" s="10" t="s">
        <v>236</v>
      </c>
      <c r="J88" s="10" t="s">
        <v>1307</v>
      </c>
      <c r="K88" s="10" t="s">
        <v>236</v>
      </c>
    </row>
    <row r="89" spans="1:11" ht="19.2" customHeight="1">
      <c r="A89" s="10">
        <v>81</v>
      </c>
      <c r="B89" s="10">
        <v>84</v>
      </c>
      <c r="C89" s="10" t="s">
        <v>302</v>
      </c>
      <c r="D89" s="10" t="s">
        <v>71</v>
      </c>
      <c r="E89" s="10" t="s">
        <v>71</v>
      </c>
      <c r="F89" s="10" t="s">
        <v>1307</v>
      </c>
      <c r="G89" s="10" t="s">
        <v>71</v>
      </c>
      <c r="H89" s="10" t="s">
        <v>236</v>
      </c>
      <c r="I89" s="10" t="s">
        <v>236</v>
      </c>
      <c r="J89" s="10" t="s">
        <v>1307</v>
      </c>
      <c r="K89" s="10" t="s">
        <v>236</v>
      </c>
    </row>
    <row r="90" spans="1:11" ht="19.2" customHeight="1">
      <c r="A90" s="10">
        <v>82</v>
      </c>
      <c r="B90" s="10">
        <v>85</v>
      </c>
      <c r="C90" s="10" t="s">
        <v>304</v>
      </c>
      <c r="D90" s="10" t="s">
        <v>71</v>
      </c>
      <c r="E90" s="10" t="s">
        <v>71</v>
      </c>
      <c r="F90" s="10" t="s">
        <v>1307</v>
      </c>
      <c r="G90" s="10" t="s">
        <v>71</v>
      </c>
      <c r="H90" s="10" t="s">
        <v>236</v>
      </c>
      <c r="I90" s="10" t="s">
        <v>236</v>
      </c>
      <c r="J90" s="10" t="s">
        <v>1307</v>
      </c>
      <c r="K90" s="10" t="s">
        <v>236</v>
      </c>
    </row>
    <row r="91" spans="1:11" ht="19.2" customHeight="1">
      <c r="A91" s="10">
        <v>83</v>
      </c>
      <c r="B91" s="10">
        <v>86</v>
      </c>
      <c r="C91" s="10" t="s">
        <v>306</v>
      </c>
      <c r="D91" s="10" t="s">
        <v>71</v>
      </c>
      <c r="E91" s="10" t="s">
        <v>71</v>
      </c>
      <c r="F91" s="10" t="s">
        <v>1307</v>
      </c>
      <c r="G91" s="10" t="s">
        <v>71</v>
      </c>
      <c r="H91" s="10" t="s">
        <v>307</v>
      </c>
      <c r="I91" s="10" t="s">
        <v>307</v>
      </c>
      <c r="J91" s="10" t="s">
        <v>1307</v>
      </c>
      <c r="K91" s="10" t="s">
        <v>307</v>
      </c>
    </row>
    <row r="92" spans="1:11" ht="19.2" customHeight="1">
      <c r="A92" s="10">
        <v>84</v>
      </c>
      <c r="B92" s="10">
        <v>87</v>
      </c>
      <c r="C92" s="10" t="s">
        <v>310</v>
      </c>
      <c r="D92" s="10" t="s">
        <v>71</v>
      </c>
      <c r="E92" s="10" t="s">
        <v>71</v>
      </c>
      <c r="F92" s="10" t="s">
        <v>1307</v>
      </c>
      <c r="G92" s="10" t="s">
        <v>71</v>
      </c>
      <c r="H92" s="10" t="s">
        <v>183</v>
      </c>
      <c r="I92" s="10" t="s">
        <v>183</v>
      </c>
      <c r="J92" s="10" t="s">
        <v>1307</v>
      </c>
      <c r="K92" s="10" t="s">
        <v>183</v>
      </c>
    </row>
    <row r="93" spans="1:11" ht="19.2" customHeight="1">
      <c r="A93" s="10">
        <v>85</v>
      </c>
      <c r="B93" s="10">
        <v>88</v>
      </c>
      <c r="C93" s="10" t="s">
        <v>313</v>
      </c>
      <c r="D93" s="10" t="s">
        <v>71</v>
      </c>
      <c r="E93" s="10" t="s">
        <v>71</v>
      </c>
      <c r="F93" s="10" t="s">
        <v>1307</v>
      </c>
      <c r="G93" s="10" t="s">
        <v>71</v>
      </c>
      <c r="H93" s="10" t="s">
        <v>183</v>
      </c>
      <c r="I93" s="10" t="s">
        <v>183</v>
      </c>
      <c r="J93" s="10" t="s">
        <v>1307</v>
      </c>
      <c r="K93" s="10" t="s">
        <v>183</v>
      </c>
    </row>
    <row r="94" spans="1:11" ht="19.2" customHeight="1">
      <c r="A94" s="10">
        <v>86</v>
      </c>
      <c r="B94" s="10">
        <v>89</v>
      </c>
      <c r="C94" s="10" t="s">
        <v>316</v>
      </c>
      <c r="D94" s="10" t="s">
        <v>27</v>
      </c>
      <c r="E94" s="10" t="s">
        <v>27</v>
      </c>
      <c r="F94" s="10" t="s">
        <v>1307</v>
      </c>
      <c r="G94" s="10" t="s">
        <v>27</v>
      </c>
      <c r="H94" s="10" t="s">
        <v>44</v>
      </c>
      <c r="I94" s="10" t="s">
        <v>44</v>
      </c>
      <c r="J94" s="10" t="s">
        <v>1307</v>
      </c>
      <c r="K94" s="10" t="s">
        <v>44</v>
      </c>
    </row>
    <row r="95" spans="1:11" ht="19.2" customHeight="1">
      <c r="A95" s="10">
        <v>87</v>
      </c>
      <c r="B95" s="10">
        <v>90</v>
      </c>
      <c r="C95" s="10" t="s">
        <v>319</v>
      </c>
      <c r="D95" s="10" t="s">
        <v>71</v>
      </c>
      <c r="E95" s="10" t="s">
        <v>71</v>
      </c>
      <c r="F95" s="10" t="s">
        <v>1307</v>
      </c>
      <c r="G95" s="10" t="s">
        <v>71</v>
      </c>
      <c r="H95" s="10" t="s">
        <v>236</v>
      </c>
      <c r="I95" s="10" t="s">
        <v>236</v>
      </c>
      <c r="J95" s="10" t="s">
        <v>1307</v>
      </c>
      <c r="K95" s="10" t="s">
        <v>236</v>
      </c>
    </row>
    <row r="96" spans="1:11" ht="19.2" customHeight="1">
      <c r="A96" s="10">
        <v>88</v>
      </c>
      <c r="B96" s="10">
        <v>91</v>
      </c>
      <c r="C96" s="10" t="s">
        <v>321</v>
      </c>
      <c r="D96" s="10" t="s">
        <v>27</v>
      </c>
      <c r="E96" s="10" t="s">
        <v>27</v>
      </c>
      <c r="F96" s="10" t="s">
        <v>1307</v>
      </c>
      <c r="G96" s="10" t="s">
        <v>27</v>
      </c>
      <c r="H96" s="10" t="s">
        <v>46</v>
      </c>
      <c r="I96" s="10" t="s">
        <v>46</v>
      </c>
      <c r="J96" s="10" t="s">
        <v>1307</v>
      </c>
      <c r="K96" s="10" t="s">
        <v>46</v>
      </c>
    </row>
    <row r="97" spans="1:11" ht="19.2" customHeight="1">
      <c r="A97" s="10">
        <v>89</v>
      </c>
      <c r="B97" s="10">
        <v>92</v>
      </c>
      <c r="C97" s="10" t="s">
        <v>324</v>
      </c>
      <c r="D97" s="10" t="s">
        <v>71</v>
      </c>
      <c r="E97" s="10" t="s">
        <v>71</v>
      </c>
      <c r="F97" s="10" t="s">
        <v>1307</v>
      </c>
      <c r="G97" s="10" t="s">
        <v>71</v>
      </c>
      <c r="H97" s="10" t="s">
        <v>307</v>
      </c>
      <c r="I97" s="10" t="s">
        <v>307</v>
      </c>
      <c r="J97" s="10" t="s">
        <v>1307</v>
      </c>
      <c r="K97" s="10" t="s">
        <v>307</v>
      </c>
    </row>
    <row r="98" spans="1:11" ht="19.2" customHeight="1">
      <c r="A98" s="10">
        <v>90</v>
      </c>
      <c r="B98" s="10">
        <v>93</v>
      </c>
      <c r="C98" s="10" t="s">
        <v>328</v>
      </c>
      <c r="D98" s="10" t="s">
        <v>27</v>
      </c>
      <c r="E98" s="10" t="s">
        <v>27</v>
      </c>
      <c r="F98" s="10" t="s">
        <v>1307</v>
      </c>
      <c r="G98" s="10" t="s">
        <v>27</v>
      </c>
      <c r="H98" s="10" t="s">
        <v>46</v>
      </c>
      <c r="I98" s="10" t="s">
        <v>44</v>
      </c>
      <c r="J98" s="10" t="s">
        <v>1308</v>
      </c>
      <c r="K98" s="10" t="s">
        <v>46</v>
      </c>
    </row>
    <row r="99" spans="1:11" ht="19.2" customHeight="1">
      <c r="A99" s="10">
        <v>91</v>
      </c>
      <c r="B99" s="10">
        <v>94</v>
      </c>
      <c r="C99" s="10" t="s">
        <v>330</v>
      </c>
      <c r="D99" s="10" t="s">
        <v>71</v>
      </c>
      <c r="E99" s="10" t="s">
        <v>71</v>
      </c>
      <c r="F99" s="10" t="s">
        <v>1307</v>
      </c>
      <c r="G99" s="10" t="s">
        <v>71</v>
      </c>
      <c r="H99" s="10" t="s">
        <v>183</v>
      </c>
      <c r="I99" s="10" t="s">
        <v>183</v>
      </c>
      <c r="J99" s="10" t="s">
        <v>1307</v>
      </c>
      <c r="K99" s="10" t="s">
        <v>183</v>
      </c>
    </row>
  </sheetData>
  <mergeCells count="7">
    <mergeCell ref="A1:K1"/>
    <mergeCell ref="A4:B4"/>
    <mergeCell ref="A6:K6"/>
    <mergeCell ref="G4:H4"/>
    <mergeCell ref="J4:K4"/>
    <mergeCell ref="A2:K2"/>
    <mergeCell ref="D4:E4"/>
  </mergeCells>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9"/>
  <sheetViews>
    <sheetView workbookViewId="0">
      <selection sqref="A1:I1"/>
    </sheetView>
  </sheetViews>
  <sheetFormatPr defaultRowHeight="13.8"/>
  <cols>
    <col min="1" max="1" width="30" customWidth="1"/>
    <col min="2" max="2" width="29" customWidth="1"/>
    <col min="3" max="5" width="15" customWidth="1"/>
    <col min="6" max="8" width="19" customWidth="1"/>
    <col min="9" max="9" width="22" customWidth="1"/>
  </cols>
  <sheetData>
    <row r="1" spans="1:9" ht="16.8" customHeight="1">
      <c r="A1" s="44" t="s">
        <v>1312</v>
      </c>
      <c r="B1" s="40"/>
      <c r="C1" s="40"/>
      <c r="D1" s="40"/>
      <c r="E1" s="40"/>
      <c r="F1" s="40"/>
      <c r="G1" s="40"/>
      <c r="H1" s="40"/>
      <c r="I1" s="40"/>
    </row>
    <row r="2" spans="1:9">
      <c r="A2" s="50" t="s">
        <v>1313</v>
      </c>
      <c r="B2" s="40"/>
      <c r="C2" s="40"/>
      <c r="D2" s="40"/>
      <c r="E2" s="40"/>
      <c r="F2" s="40"/>
      <c r="G2" s="40"/>
      <c r="H2" s="40"/>
      <c r="I2" s="40"/>
    </row>
    <row r="4" spans="1:9">
      <c r="A4" s="50" t="s">
        <v>1314</v>
      </c>
      <c r="B4" s="40"/>
      <c r="C4" s="40"/>
      <c r="D4" s="40"/>
      <c r="E4" s="40"/>
      <c r="F4" s="40"/>
      <c r="G4" s="40"/>
      <c r="H4" s="40"/>
      <c r="I4" s="40"/>
    </row>
    <row r="5" spans="1:9">
      <c r="A5" s="50" t="s">
        <v>1315</v>
      </c>
      <c r="B5" s="40"/>
      <c r="C5" s="40"/>
      <c r="D5" s="40"/>
      <c r="E5" s="40"/>
      <c r="F5" s="40"/>
      <c r="G5" s="40"/>
      <c r="H5" s="40"/>
      <c r="I5" s="40"/>
    </row>
    <row r="7" spans="1:9" ht="22.05" customHeight="1">
      <c r="A7" s="12" t="s">
        <v>1316</v>
      </c>
      <c r="B7" s="12" t="s">
        <v>1317</v>
      </c>
      <c r="C7" s="12" t="s">
        <v>1318</v>
      </c>
      <c r="D7" s="12" t="s">
        <v>1319</v>
      </c>
      <c r="E7" s="12" t="s">
        <v>1320</v>
      </c>
      <c r="F7" s="12" t="s">
        <v>1321</v>
      </c>
      <c r="G7" s="12" t="s">
        <v>1322</v>
      </c>
      <c r="H7" s="12" t="s">
        <v>1323</v>
      </c>
      <c r="I7" s="12" t="s">
        <v>1324</v>
      </c>
    </row>
    <row r="8" spans="1:9">
      <c r="A8" s="13" t="s">
        <v>5</v>
      </c>
      <c r="B8" s="13" t="s">
        <v>1325</v>
      </c>
      <c r="C8" s="13">
        <f>COUNTA('05_Coding_Audit'!$A$65:$A$91)</f>
        <v>27</v>
      </c>
      <c r="D8" s="13">
        <f>COUNTIF('05_Coding_Audit'!$F$65:$F$91,"Agree")</f>
        <v>27</v>
      </c>
      <c r="E8" s="13">
        <f>C8-D8</f>
        <v>0</v>
      </c>
      <c r="F8" s="14">
        <f>D8/C8</f>
        <v>1</v>
      </c>
      <c r="G8" s="14">
        <f>F19</f>
        <v>0.80246913580246915</v>
      </c>
      <c r="H8" s="14">
        <f>(F8-G8)/(1-G8)</f>
        <v>1</v>
      </c>
      <c r="I8" s="13" t="str">
        <f>IF(H8&gt;=0.81,"Almost perfect",IF(H8&gt;=0.61,"Substantial",IF(H8&gt;=0.41,"Moderate",IF(H8&gt;=0.21,"Fair",IF(H8&gt;=0.01,"Slight","Poor")))))</f>
        <v>Almost perfect</v>
      </c>
    </row>
    <row r="9" spans="1:9">
      <c r="A9" s="13" t="s">
        <v>9</v>
      </c>
      <c r="B9" s="13" t="s">
        <v>1326</v>
      </c>
      <c r="C9" s="13">
        <f>COUNTA('05_Coding_Audit'!$A$65:$A$91)</f>
        <v>27</v>
      </c>
      <c r="D9" s="13">
        <f>COUNTIF('05_Coding_Audit'!$J$65:$J$91,"Agree")</f>
        <v>24</v>
      </c>
      <c r="E9" s="13">
        <f>C9-D9</f>
        <v>3</v>
      </c>
      <c r="F9" s="14">
        <f>D9/C9</f>
        <v>0.88888888888888884</v>
      </c>
      <c r="G9" s="14">
        <f>F37</f>
        <v>0.30864197530864196</v>
      </c>
      <c r="H9" s="14">
        <f>(F9-G9)/(1-G9)</f>
        <v>0.83928571428571419</v>
      </c>
      <c r="I9" s="13" t="str">
        <f>IF(H9&gt;=0.81,"Almost perfect",IF(H9&gt;=0.61,"Substantial",IF(H9&gt;=0.41,"Moderate",IF(H9&gt;=0.21,"Fair",IF(H9&gt;=0.01,"Slight","Poor")))))</f>
        <v>Almost perfect</v>
      </c>
    </row>
    <row r="12" spans="1:9">
      <c r="A12" s="49" t="s">
        <v>1327</v>
      </c>
      <c r="B12" s="40"/>
      <c r="C12" s="40"/>
      <c r="D12" s="40"/>
      <c r="E12" s="40"/>
      <c r="F12" s="40"/>
      <c r="H12" s="49" t="s">
        <v>1328</v>
      </c>
      <c r="I12" s="40"/>
    </row>
    <row r="14" spans="1:9" ht="22.05" customHeight="1">
      <c r="A14" s="12" t="s">
        <v>1329</v>
      </c>
      <c r="B14" s="12" t="s">
        <v>1330</v>
      </c>
      <c r="C14" s="12" t="s">
        <v>1331</v>
      </c>
      <c r="D14" s="12" t="s">
        <v>1332</v>
      </c>
      <c r="E14" s="12" t="s">
        <v>1333</v>
      </c>
      <c r="F14" s="12" t="s">
        <v>1334</v>
      </c>
      <c r="H14" t="s">
        <v>1335</v>
      </c>
      <c r="I14" t="s">
        <v>1191</v>
      </c>
    </row>
    <row r="15" spans="1:9" ht="13.35" customHeight="1">
      <c r="A15" s="16" t="s">
        <v>27</v>
      </c>
      <c r="B15" s="16">
        <f>COUNTIF('05_Coding_Audit'!$D$65:$D$91,A15)</f>
        <v>3</v>
      </c>
      <c r="C15" s="16">
        <f>COUNTIF('05_Coding_Audit'!$E$65:$E$91,A15)</f>
        <v>3</v>
      </c>
      <c r="D15" s="17">
        <f t="shared" ref="D15:E18" si="0">B15/$C$8</f>
        <v>0.1111111111111111</v>
      </c>
      <c r="E15" s="17">
        <f t="shared" si="0"/>
        <v>0.1111111111111111</v>
      </c>
      <c r="F15" s="17">
        <f>D15*E15</f>
        <v>1.2345679012345678E-2</v>
      </c>
      <c r="H15" t="s">
        <v>1336</v>
      </c>
      <c r="I15">
        <f>COUNTIFS('05_Coding_Audit'!$D$65:$D$91,"VUL",'05_Coding_Audit'!$E$65:$E$91,"REL")+COUNTIFS('05_Coding_Audit'!$D$65:$D$91,"REL",'05_Coding_Audit'!$E$65:$E$91,"VUL")</f>
        <v>0</v>
      </c>
    </row>
    <row r="16" spans="1:9">
      <c r="A16" s="16" t="s">
        <v>71</v>
      </c>
      <c r="B16" s="16">
        <f>COUNTIF('05_Coding_Audit'!$D$65:$D$91,A16)</f>
        <v>24</v>
      </c>
      <c r="C16" s="16">
        <f>COUNTIF('05_Coding_Audit'!$E$65:$E$91,A16)</f>
        <v>24</v>
      </c>
      <c r="D16" s="17">
        <f t="shared" si="0"/>
        <v>0.88888888888888884</v>
      </c>
      <c r="E16" s="17">
        <f t="shared" si="0"/>
        <v>0.88888888888888884</v>
      </c>
      <c r="F16" s="17">
        <f>D16*E16</f>
        <v>0.79012345679012341</v>
      </c>
      <c r="H16" t="s">
        <v>1337</v>
      </c>
      <c r="I16">
        <f>E8-I15</f>
        <v>0</v>
      </c>
    </row>
    <row r="17" spans="1:9">
      <c r="A17" s="16" t="s">
        <v>123</v>
      </c>
      <c r="B17" s="16">
        <f>COUNTIF('05_Coding_Audit'!$D$65:$D$91,A17)</f>
        <v>0</v>
      </c>
      <c r="C17" s="16">
        <f>COUNTIF('05_Coding_Audit'!$E$65:$E$91,A17)</f>
        <v>0</v>
      </c>
      <c r="D17" s="17">
        <f t="shared" si="0"/>
        <v>0</v>
      </c>
      <c r="E17" s="17">
        <f t="shared" si="0"/>
        <v>0</v>
      </c>
      <c r="F17" s="17">
        <f>D17*E17</f>
        <v>0</v>
      </c>
      <c r="H17" t="s">
        <v>1338</v>
      </c>
      <c r="I17">
        <f>E8</f>
        <v>0</v>
      </c>
    </row>
    <row r="18" spans="1:9">
      <c r="A18" s="16" t="s">
        <v>51</v>
      </c>
      <c r="B18" s="16">
        <f>COUNTIF('05_Coding_Audit'!$D$65:$D$91,A18)</f>
        <v>0</v>
      </c>
      <c r="C18" s="16">
        <f>COUNTIF('05_Coding_Audit'!$E$65:$E$91,A18)</f>
        <v>0</v>
      </c>
      <c r="D18" s="17">
        <f t="shared" si="0"/>
        <v>0</v>
      </c>
      <c r="E18" s="17">
        <f t="shared" si="0"/>
        <v>0</v>
      </c>
      <c r="F18" s="17">
        <f>D18*E18</f>
        <v>0</v>
      </c>
      <c r="H18" t="s">
        <v>1339</v>
      </c>
      <c r="I18" t="s">
        <v>86</v>
      </c>
    </row>
    <row r="19" spans="1:9">
      <c r="A19" s="53" t="s">
        <v>1340</v>
      </c>
      <c r="B19" s="40"/>
      <c r="C19" s="40"/>
      <c r="D19" s="40"/>
      <c r="E19" s="40"/>
      <c r="F19" s="17">
        <f>SUM(F15:F18)</f>
        <v>0.80246913580246915</v>
      </c>
    </row>
    <row r="21" spans="1:9">
      <c r="A21" s="49" t="s">
        <v>1341</v>
      </c>
      <c r="B21" s="40"/>
      <c r="C21" s="40"/>
      <c r="D21" s="40"/>
      <c r="E21" s="40"/>
      <c r="F21" s="40"/>
    </row>
    <row r="23" spans="1:9" ht="22.05" customHeight="1">
      <c r="A23" s="12" t="s">
        <v>1342</v>
      </c>
      <c r="B23" s="12" t="s">
        <v>1330</v>
      </c>
      <c r="C23" s="12" t="s">
        <v>1331</v>
      </c>
      <c r="D23" s="12" t="s">
        <v>1332</v>
      </c>
      <c r="E23" s="12" t="s">
        <v>1333</v>
      </c>
      <c r="F23" s="12" t="s">
        <v>1334</v>
      </c>
    </row>
    <row r="24" spans="1:9">
      <c r="A24" s="16" t="s">
        <v>112</v>
      </c>
      <c r="B24" s="16">
        <f>COUNTIF('05_Coding_Audit'!$H$65:$H$91,A24)</f>
        <v>0</v>
      </c>
      <c r="C24" s="16">
        <f>COUNTIF('05_Coding_Audit'!$I$65:$I$91,A24)</f>
        <v>0</v>
      </c>
      <c r="D24" s="17">
        <f t="shared" ref="D24:D36" si="1">B24/$C$9</f>
        <v>0</v>
      </c>
      <c r="E24" s="17">
        <f t="shared" ref="E24:E36" si="2">C24/$C$9</f>
        <v>0</v>
      </c>
      <c r="F24" s="17">
        <f t="shared" ref="F24:F36" si="3">D24*E24</f>
        <v>0</v>
      </c>
    </row>
    <row r="25" spans="1:9">
      <c r="A25" s="16" t="s">
        <v>1311</v>
      </c>
      <c r="B25" s="16">
        <f>COUNTIF('05_Coding_Audit'!$H$65:$H$91,A25)</f>
        <v>0</v>
      </c>
      <c r="C25" s="16">
        <f>COUNTIF('05_Coding_Audit'!$I$65:$I$91,A25)</f>
        <v>0</v>
      </c>
      <c r="D25" s="17">
        <f t="shared" si="1"/>
        <v>0</v>
      </c>
      <c r="E25" s="17">
        <f t="shared" si="2"/>
        <v>0</v>
      </c>
      <c r="F25" s="17">
        <f t="shared" si="3"/>
        <v>0</v>
      </c>
    </row>
    <row r="26" spans="1:9">
      <c r="A26" s="16" t="s">
        <v>45</v>
      </c>
      <c r="B26" s="16">
        <f>COUNTIF('05_Coding_Audit'!$H$65:$H$91,A26)</f>
        <v>0</v>
      </c>
      <c r="C26" s="16">
        <f>COUNTIF('05_Coding_Audit'!$I$65:$I$91,A26)</f>
        <v>1</v>
      </c>
      <c r="D26" s="17">
        <f t="shared" si="1"/>
        <v>0</v>
      </c>
      <c r="E26" s="17">
        <f t="shared" si="2"/>
        <v>3.7037037037037035E-2</v>
      </c>
      <c r="F26" s="17">
        <f t="shared" si="3"/>
        <v>0</v>
      </c>
    </row>
    <row r="27" spans="1:9">
      <c r="A27" s="16" t="s">
        <v>124</v>
      </c>
      <c r="B27" s="16">
        <f>COUNTIF('05_Coding_Audit'!$H$65:$H$91,A27)</f>
        <v>0</v>
      </c>
      <c r="C27" s="16">
        <f>COUNTIF('05_Coding_Audit'!$I$65:$I$91,A27)</f>
        <v>0</v>
      </c>
      <c r="D27" s="17">
        <f t="shared" si="1"/>
        <v>0</v>
      </c>
      <c r="E27" s="17">
        <f t="shared" si="2"/>
        <v>0</v>
      </c>
      <c r="F27" s="17">
        <f t="shared" si="3"/>
        <v>0</v>
      </c>
    </row>
    <row r="28" spans="1:9">
      <c r="A28" s="16" t="s">
        <v>46</v>
      </c>
      <c r="B28" s="16">
        <f>COUNTIF('05_Coding_Audit'!$H$65:$H$91,A28)</f>
        <v>0</v>
      </c>
      <c r="C28" s="16">
        <f>COUNTIF('05_Coding_Audit'!$I$65:$I$91,A28)</f>
        <v>0</v>
      </c>
      <c r="D28" s="17">
        <f t="shared" si="1"/>
        <v>0</v>
      </c>
      <c r="E28" s="17">
        <f t="shared" si="2"/>
        <v>0</v>
      </c>
      <c r="F28" s="17">
        <f t="shared" si="3"/>
        <v>0</v>
      </c>
    </row>
    <row r="29" spans="1:9">
      <c r="A29" s="16" t="s">
        <v>66</v>
      </c>
      <c r="B29" s="16">
        <f>COUNTIF('05_Coding_Audit'!$H$65:$H$91,A29)</f>
        <v>0</v>
      </c>
      <c r="C29" s="16">
        <f>COUNTIF('05_Coding_Audit'!$I$65:$I$91,A29)</f>
        <v>0</v>
      </c>
      <c r="D29" s="17">
        <f t="shared" si="1"/>
        <v>0</v>
      </c>
      <c r="E29" s="17">
        <f t="shared" si="2"/>
        <v>0</v>
      </c>
      <c r="F29" s="17">
        <f t="shared" si="3"/>
        <v>0</v>
      </c>
    </row>
    <row r="30" spans="1:9">
      <c r="A30" s="16" t="s">
        <v>236</v>
      </c>
      <c r="B30" s="16">
        <f>COUNTIF('05_Coding_Audit'!$H$65:$H$91,A30)</f>
        <v>10</v>
      </c>
      <c r="C30" s="16">
        <f>COUNTIF('05_Coding_Audit'!$I$65:$I$91,A30)</f>
        <v>10</v>
      </c>
      <c r="D30" s="17">
        <f t="shared" si="1"/>
        <v>0.37037037037037035</v>
      </c>
      <c r="E30" s="17">
        <f t="shared" si="2"/>
        <v>0.37037037037037035</v>
      </c>
      <c r="F30" s="17">
        <f t="shared" si="3"/>
        <v>0.1371742112482853</v>
      </c>
    </row>
    <row r="31" spans="1:9">
      <c r="A31" s="16" t="s">
        <v>307</v>
      </c>
      <c r="B31" s="16">
        <f>COUNTIF('05_Coding_Audit'!$H$65:$H$91,A31)</f>
        <v>3</v>
      </c>
      <c r="C31" s="16">
        <f>COUNTIF('05_Coding_Audit'!$I$65:$I$91,A31)</f>
        <v>4</v>
      </c>
      <c r="D31" s="17">
        <f t="shared" si="1"/>
        <v>0.1111111111111111</v>
      </c>
      <c r="E31" s="17">
        <f t="shared" si="2"/>
        <v>0.14814814814814814</v>
      </c>
      <c r="F31" s="17">
        <f t="shared" si="3"/>
        <v>1.6460905349794237E-2</v>
      </c>
    </row>
    <row r="32" spans="1:9">
      <c r="A32" s="16" t="s">
        <v>44</v>
      </c>
      <c r="B32" s="16">
        <f>COUNTIF('05_Coding_Audit'!$H$65:$H$91,A32)</f>
        <v>2</v>
      </c>
      <c r="C32" s="16">
        <f>COUNTIF('05_Coding_Audit'!$I$65:$I$91,A32)</f>
        <v>1</v>
      </c>
      <c r="D32" s="17">
        <f t="shared" si="1"/>
        <v>7.407407407407407E-2</v>
      </c>
      <c r="E32" s="17">
        <f t="shared" si="2"/>
        <v>3.7037037037037035E-2</v>
      </c>
      <c r="F32" s="17">
        <f t="shared" si="3"/>
        <v>2.7434842249657062E-3</v>
      </c>
    </row>
    <row r="33" spans="1:9">
      <c r="A33" s="16" t="s">
        <v>103</v>
      </c>
      <c r="B33" s="16">
        <f>COUNTIF('05_Coding_Audit'!$H$65:$H$91,A33)</f>
        <v>1</v>
      </c>
      <c r="C33" s="16">
        <f>COUNTIF('05_Coding_Audit'!$I$65:$I$91,A33)</f>
        <v>1</v>
      </c>
      <c r="D33" s="17">
        <f t="shared" si="1"/>
        <v>3.7037037037037035E-2</v>
      </c>
      <c r="E33" s="17">
        <f t="shared" si="2"/>
        <v>3.7037037037037035E-2</v>
      </c>
      <c r="F33" s="17">
        <f t="shared" si="3"/>
        <v>1.3717421124828531E-3</v>
      </c>
    </row>
    <row r="34" spans="1:9">
      <c r="A34" s="16" t="s">
        <v>125</v>
      </c>
      <c r="B34" s="16">
        <f>COUNTIF('05_Coding_Audit'!$H$65:$H$91,A34)</f>
        <v>0</v>
      </c>
      <c r="C34" s="16">
        <f>COUNTIF('05_Coding_Audit'!$I$65:$I$91,A34)</f>
        <v>0</v>
      </c>
      <c r="D34" s="17">
        <f t="shared" si="1"/>
        <v>0</v>
      </c>
      <c r="E34" s="17">
        <f t="shared" si="2"/>
        <v>0</v>
      </c>
      <c r="F34" s="17">
        <f t="shared" si="3"/>
        <v>0</v>
      </c>
    </row>
    <row r="35" spans="1:9">
      <c r="A35" s="16" t="s">
        <v>183</v>
      </c>
      <c r="B35" s="16">
        <f>COUNTIF('05_Coding_Audit'!$H$65:$H$91,A35)</f>
        <v>11</v>
      </c>
      <c r="C35" s="16">
        <f>COUNTIF('05_Coding_Audit'!$I$65:$I$91,A35)</f>
        <v>10</v>
      </c>
      <c r="D35" s="17">
        <f t="shared" si="1"/>
        <v>0.40740740740740738</v>
      </c>
      <c r="E35" s="17">
        <f t="shared" si="2"/>
        <v>0.37037037037037035</v>
      </c>
      <c r="F35" s="17">
        <f t="shared" si="3"/>
        <v>0.15089163237311384</v>
      </c>
    </row>
    <row r="36" spans="1:9">
      <c r="A36" s="16" t="s">
        <v>51</v>
      </c>
      <c r="B36" s="16">
        <f>COUNTIF('05_Coding_Audit'!$H$65:$H$91,A36)</f>
        <v>0</v>
      </c>
      <c r="C36" s="16">
        <f>COUNTIF('05_Coding_Audit'!$I$65:$I$91,A36)</f>
        <v>0</v>
      </c>
      <c r="D36" s="17">
        <f t="shared" si="1"/>
        <v>0</v>
      </c>
      <c r="E36" s="17">
        <f t="shared" si="2"/>
        <v>0</v>
      </c>
      <c r="F36" s="17">
        <f t="shared" si="3"/>
        <v>0</v>
      </c>
    </row>
    <row r="37" spans="1:9">
      <c r="A37" s="53" t="s">
        <v>1343</v>
      </c>
      <c r="B37" s="40"/>
      <c r="C37" s="40"/>
      <c r="D37" s="40"/>
      <c r="E37" s="40"/>
      <c r="F37" s="17">
        <f>SUM(F24:F36)</f>
        <v>0.30864197530864196</v>
      </c>
    </row>
    <row r="40" spans="1:9">
      <c r="A40" s="49" t="s">
        <v>1344</v>
      </c>
      <c r="B40" s="40"/>
      <c r="C40" s="40"/>
      <c r="D40" s="40"/>
      <c r="E40" s="40"/>
      <c r="F40" s="40"/>
      <c r="G40" s="40"/>
      <c r="H40" s="40"/>
      <c r="I40" s="40"/>
    </row>
    <row r="42" spans="1:9">
      <c r="A42" s="52" t="s">
        <v>1345</v>
      </c>
      <c r="B42" s="40"/>
      <c r="C42" s="52" t="s">
        <v>1346</v>
      </c>
      <c r="D42" s="40"/>
      <c r="E42" s="51" t="s">
        <v>1256</v>
      </c>
      <c r="F42" s="40"/>
      <c r="G42" s="40"/>
      <c r="H42" s="40"/>
      <c r="I42" s="40"/>
    </row>
    <row r="43" spans="1:9">
      <c r="A43" s="48" t="s">
        <v>1347</v>
      </c>
      <c r="B43" s="40"/>
      <c r="C43" s="48" t="s">
        <v>1348</v>
      </c>
      <c r="D43" s="40"/>
      <c r="E43" s="48" t="s">
        <v>1349</v>
      </c>
      <c r="F43" s="40"/>
      <c r="G43" s="40"/>
      <c r="H43" s="40"/>
      <c r="I43" s="40"/>
    </row>
    <row r="44" spans="1:9">
      <c r="A44" s="48" t="s">
        <v>1350</v>
      </c>
      <c r="B44" s="40"/>
      <c r="C44" s="48" t="s">
        <v>1351</v>
      </c>
      <c r="D44" s="40"/>
      <c r="E44" s="48" t="s">
        <v>1352</v>
      </c>
      <c r="F44" s="40"/>
      <c r="G44" s="40"/>
      <c r="H44" s="40"/>
      <c r="I44" s="40"/>
    </row>
    <row r="45" spans="1:9">
      <c r="A45" s="48" t="s">
        <v>1353</v>
      </c>
      <c r="B45" s="40"/>
      <c r="C45" s="48" t="s">
        <v>1354</v>
      </c>
      <c r="D45" s="40"/>
      <c r="E45" s="48" t="s">
        <v>1355</v>
      </c>
      <c r="F45" s="40"/>
      <c r="G45" s="40"/>
      <c r="H45" s="40"/>
      <c r="I45" s="40"/>
    </row>
    <row r="46" spans="1:9">
      <c r="A46" s="48" t="s">
        <v>1356</v>
      </c>
      <c r="B46" s="40"/>
      <c r="C46" s="48" t="s">
        <v>1357</v>
      </c>
      <c r="D46" s="40"/>
      <c r="E46" s="48" t="s">
        <v>1358</v>
      </c>
      <c r="F46" s="40"/>
      <c r="G46" s="40"/>
      <c r="H46" s="40"/>
      <c r="I46" s="40"/>
    </row>
    <row r="49" spans="1:9">
      <c r="A49" s="50" t="s">
        <v>1359</v>
      </c>
      <c r="B49" s="40"/>
      <c r="C49" s="40"/>
      <c r="D49" s="40"/>
      <c r="E49" s="40"/>
      <c r="F49" s="40"/>
      <c r="G49" s="40"/>
      <c r="H49" s="40"/>
      <c r="I49" s="40"/>
    </row>
  </sheetData>
  <mergeCells count="26">
    <mergeCell ref="A49:I49"/>
    <mergeCell ref="A43:B43"/>
    <mergeCell ref="A19:E19"/>
    <mergeCell ref="A1:I1"/>
    <mergeCell ref="A44:B44"/>
    <mergeCell ref="A46:B46"/>
    <mergeCell ref="C44:D44"/>
    <mergeCell ref="A37:E37"/>
    <mergeCell ref="A4:I4"/>
    <mergeCell ref="C43:D43"/>
    <mergeCell ref="C46:D46"/>
    <mergeCell ref="E46:I46"/>
    <mergeCell ref="A42:B42"/>
    <mergeCell ref="A40:I40"/>
    <mergeCell ref="E45:I45"/>
    <mergeCell ref="H12:I12"/>
    <mergeCell ref="A2:I2"/>
    <mergeCell ref="A5:I5"/>
    <mergeCell ref="E43:I43"/>
    <mergeCell ref="E42:I42"/>
    <mergeCell ref="C42:D42"/>
    <mergeCell ref="A45:B45"/>
    <mergeCell ref="C45:D45"/>
    <mergeCell ref="A12:F12"/>
    <mergeCell ref="A21:F21"/>
    <mergeCell ref="E44:I44"/>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01_Study_Coding</vt:lpstr>
      <vt:lpstr>02_Defect_Evidence</vt:lpstr>
      <vt:lpstr>03_Codebook</vt:lpstr>
      <vt:lpstr>04_Coding_Rules</vt:lpstr>
      <vt:lpstr>05_Coding_Audit</vt:lpstr>
      <vt:lpstr>06_Kappa_Calculation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思宇 陆</cp:lastModifiedBy>
  <dcterms:modified xsi:type="dcterms:W3CDTF">2026-06-22T14:17:47Z</dcterms:modified>
</cp:coreProperties>
</file>